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14ba305d3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review" sheetId="1" r:id="R0ce31086d2324b17"/>
    <x:sheet xmlns:r="http://schemas.openxmlformats.org/officeDocument/2006/relationships" name="Monthly report" sheetId="2" r:id="R4c36566b3d6a4cca"/>
    <x:sheet xmlns:r="http://schemas.openxmlformats.org/officeDocument/2006/relationships" name="Monthly detail" sheetId="3" r:id="R26f9c3fde5e447f1"/>
    <x:sheet xmlns:r="http://schemas.openxmlformats.org/officeDocument/2006/relationships" name="Category review" sheetId="4" r:id="R7aa97912ec0a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"/>
    <x:numFmt numFmtId="201" formatCode="#,##0"/>
    <x:numFmt numFmtId="202" formatCode="0.0%"/>
    <x:numFmt numFmtId="203" formatCode="mmm yyyy"/>
    <x:numFmt numFmtId="204" formatCode="@"/>
  </x:numFmts>
  <x:fonts count="10">
    <x:font>
      <x:sz val="11"/>
      <x:name val="Carlito"/>
    </x:font>
    <x:font>
      <x:sz val="10"/>
      <x:color rgb="FF213047"/>
      <x:name val="Arial"/>
    </x:font>
    <x:font>
      <x:b/>
      <x:sz val="16"/>
      <x:color rgb="FF213047"/>
      <x:name val="Arial"/>
    </x:font>
    <x:font>
      <x:i/>
      <x:sz val="9"/>
      <x:color rgb="FF68798D"/>
      <x:name val="Arial"/>
    </x:font>
    <x:font>
      <x:sz val="10"/>
      <x:color rgb="FF3667AF"/>
      <x:name val="Arial"/>
    </x:font>
    <x:font>
      <x:b/>
      <x:sz val="12"/>
      <x:color rgb="FF213047"/>
      <x:name val="Arial"/>
    </x:font>
    <x:font>
      <x:sz val="9"/>
      <x:color rgb="FF68798D"/>
      <x:name val="Arial"/>
    </x:font>
    <x:font>
      <x:b/>
      <x:sz val="10"/>
      <x:color rgb="FFFFFFFF"/>
      <x:name val="Arial"/>
    </x:font>
    <x:font>
      <x:i/>
      <x:sz val="10"/>
      <x:color rgb="FF68798D"/>
      <x:name val="Arial"/>
    </x:font>
    <x:font>
      <x:sz val="10"/>
      <x:color rgb="FF6879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047"/>
      </x:patternFill>
    </x:fill>
    <x:fill>
      <x:patternFill patternType="solid">
        <x:fgColor rgb="FFFFF2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A32626"/>
      </x:font>
    </x:dxf>
    <x:dxf>
      <x:font>
        <x:color rgb="FFA32626"/>
      </x:font>
    </x:dxf>
    <x:dxf>
      <x:font>
        <x:b/>
        <x:color rgb="FFA32626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7992074b14e64" /><Relationship Type="http://schemas.openxmlformats.org/officeDocument/2006/relationships/theme" Target="/xl/theme/theme1.xml" Id="Rca35a53890fc4b8f" /><Relationship Type="http://schemas.openxmlformats.org/officeDocument/2006/relationships/sharedStrings" Target="/xl/sharedStrings.xml" Id="R143a68fa720b4865" /><Relationship Type="http://schemas.openxmlformats.org/officeDocument/2006/relationships/worksheet" Target="/xl/worksheets/sheet1.xml" Id="R0ce31086d2324b17" /><Relationship Type="http://schemas.openxmlformats.org/officeDocument/2006/relationships/worksheet" Target="/xl/worksheets/sheet2.xml" Id="R4c36566b3d6a4cca" /><Relationship Type="http://schemas.openxmlformats.org/officeDocument/2006/relationships/worksheet" Target="/xl/worksheets/sheet3.xml" Id="R26f9c3fde5e447f1" /><Relationship Type="http://schemas.openxmlformats.org/officeDocument/2006/relationships/worksheet" Target="/xl/worksheets/sheet4.xml" Id="R7aa97912ec0a4c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2214b306344c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Last 12 observed months · sales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ln xmlns:a="http://schemas.openxmlformats.org/drawingml/2006/main" w="19050">
              <a:solidFill>
                <a:srgbClr val="3667AF"/>
              </a:solidFill>
              <a:prstDash val="solid"/>
            </a:ln>
          </c:spPr>
          <c:marker>
            <c:symbol val="none"/>
          </c:marker>
          <c:cat>
            <c:strRef>
              <c:f>'Monthly detail'!$L$57:$L$68</c:f>
              <c:strCache>
                <c:ptCount val="0"/>
              </c:strCache>
            </c:strRef>
          </c:cat>
          <c:val>
            <c:numRef>
              <c:f>'Monthly detail'!$M$57:$M$68</c:f>
              <c:numCache>
                <c:formatCode>#,##0,"K"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2214b306344c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Inputs" displayName="MonthlyInputs" ref="A5:J53" headerRowCount="1" totalsRowCount="0" totalsRowShown="0">
  <x:tableColumns count="10">
    <x:tableColumn id="1" name="Month"/>
    <x:tableColumn id="2" name="Coverage"/>
    <x:tableColumn id="3" name="Lines"/>
    <x:tableColumn id="4" name="Orders"/>
    <x:tableColumn id="5" name="Sales"/>
    <x:tableColumn id="6" name="Prior month sales"/>
    <x:tableColumn id="7" name="Sales MoM"/>
    <x:tableColumn id="8" name="Prior year sales"/>
    <x:tableColumn id="9" name="Sales YoY"/>
    <x:tableColumn id="10" name="Average 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Review" displayName="CategoryReview" ref="A5:G149" headerRowCount="1" totalsRowCount="0" totalsRowShown="0">
  <x:tableColumns count="7">
    <x:tableColumn id="1" name="Month key"/>
    <x:tableColumn id="2" name="Category"/>
    <x:tableColumn id="3" name="Sales"/>
    <x:tableColumn id="4" name="Owner"/>
    <x:tableColumn id="5" name="Review status"/>
    <x:tableColumn id="6" name="Review note"/>
    <x:tableColumn id="7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580742654354d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c18a0d4e127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f1726c1d2a247ea" /></Relationships>
</file>

<file path=xl/worksheets/sheet1.xml><?xml version="1.0" encoding="utf-8"?>
<x:worksheet xmlns:x="http://schemas.openxmlformats.org/spreadsheetml/2006/main">
  <x:sheetPr>
    <x:tabColor rgb="FF213047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Sales review · 2018-12</x:v>
      </x:c>
      <x:c r="B2" s="2"/>
      <x:c r="C2" s="2"/>
      <x:c r="D2" s="2"/>
      <x:c r="E2" s="2"/>
      <x:c r="F2" s="2"/>
    </x:row>
    <x:row r="3" ht="24" customHeight="1">
      <x:c r="A3" s="4" t="str">
        <x:v>2018-12-01–2018-12-30 versus 2017-12-01–2017-12-30 | Historical sample | Source monetary units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8" customHeight="1">
      <x:c r="A5" s="15" t="str">
        <x:v>Measure</x:v>
      </x:c>
      <x:c r="B5" s="15" t="str">
        <x:v>Current period</x:v>
      </x:c>
      <x:c r="C5" s="15" t="str">
        <x:v>Prior year</x:v>
      </x:c>
      <x:c r="D5" s="15" t="str">
        <x:v>Change</x:v>
      </x:c>
      <x:c r="E5" s="2"/>
      <x:c r="F5" s="2"/>
    </x:row>
    <x:row r="6" ht="24" customHeight="1">
      <x:c r="A6" s="2" t="str">
        <x:v>Sales</x:v>
      </x:c>
      <x:c r="B6" s="8" t="n">
        <x:v>83030.3888</x:v>
      </x:c>
      <x:c r="C6" s="8" t="n">
        <x:v>95007.353</x:v>
      </x:c>
      <x:c r="D6" s="7" t="n">
        <x:f>IF(OR(B6="n.a.",C6=0,C6="n.a."),"n.a.",B6/C6-1)</x:f>
        <x:v>-0.1260635500496472</x:v>
      </x:c>
      <x:c r="E6" s="2"/>
      <x:c r="F6" s="2"/>
    </x:row>
    <x:row r="7" ht="24" customHeight="1">
      <x:c r="A7" s="2" t="str">
        <x:v>Orders</x:v>
      </x:c>
      <x:c r="B7" s="9" t="n">
        <x:v>223</x:v>
      </x:c>
      <x:c r="C7" s="9" t="n">
        <x:v>167</x:v>
      </x:c>
      <x:c r="D7" s="7" t="n">
        <x:f>IF(OR(B7="n.a.",C7=0,C7="n.a."),"n.a.",B7/C7-1)</x:f>
        <x:v>0.33532934131736525</x:v>
      </x:c>
      <x:c r="E7" s="2"/>
      <x:c r="F7" s="2"/>
    </x:row>
    <x:row r="8" ht="24" customHeight="1">
      <x:c r="A8" s="2" t="str">
        <x:v>Average order value</x:v>
      </x:c>
      <x:c r="B8" s="5" t="n">
        <x:f>IF(B7=0,"n.a.",B6/B7)</x:f>
        <x:v>372.3335820627803</x:v>
      </x:c>
      <x:c r="C8" s="5" t="n">
        <x:f>IF(C7=0,"n.a.",C6/C7)</x:f>
        <x:v>568.9063053892215</x:v>
      </x:c>
      <x:c r="D8" s="7" t="n">
        <x:f>IF(OR(B8="n.a.",C8=0,C8="n.a."),"n.a.",B8/C8-1)</x:f>
        <x:v>-0.3455274119205878</x:v>
      </x:c>
      <x:c r="E8" s="2"/>
      <x:c r="F8" s="2"/>
    </x:row>
    <x:row r="9" ht="24" customHeight="1">
      <x:c r="A9" s="2"/>
      <x:c r="B9" s="2"/>
      <x:c r="C9" s="2"/>
      <x:c r="D9" s="2"/>
      <x:c r="E9" s="2"/>
      <x:c r="F9" s="2"/>
    </x:row>
    <x:row r="10" ht="24" customHeight="1">
      <x:c r="A10" s="2" t="str">
        <x:v>Sales change</x:v>
      </x:c>
      <x:c r="B10" s="5" t="n">
        <x:f>B6-C6</x:f>
        <x:v>-11976.964200000002</x:v>
      </x:c>
      <x:c r="C10" s="2"/>
      <x:c r="D10" s="2"/>
      <x:c r="E10" s="2"/>
      <x:c r="F10" s="2"/>
    </x:row>
    <x:row r="11" ht="24" customHeight="1">
      <x:c r="A11" s="2" t="str">
        <x:v>Order-volume contribution</x:v>
      </x:c>
      <x:c r="B11" s="5" t="n">
        <x:f>IF(C7=0,"n.a.",(B7-C7)*C8)</x:f>
        <x:v>31858.753101796407</x:v>
      </x:c>
      <x:c r="C11" s="2"/>
      <x:c r="D11" s="2"/>
      <x:c r="E11" s="2"/>
      <x:c r="F11" s="2"/>
    </x:row>
    <x:row r="12" ht="24" customHeight="1">
      <x:c r="A12" s="2" t="str">
        <x:v>Average-order contribution</x:v>
      </x:c>
      <x:c r="B12" s="5" t="n">
        <x:f>IF(OR(C7=0,B7=0),"n.a.",B7*(B8-C8))</x:f>
        <x:v>-43835.717301796394</x:v>
      </x:c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10" t="str">
        <x:v>Sales down 12.6%; 223 orders versus 167.</x:v>
      </x:c>
      <x:c r="B14" s="2"/>
      <x:c r="C14" s="2"/>
      <x:c r="D14" s="2"/>
      <x:c r="E14" s="2"/>
      <x:c r="F14" s="2"/>
    </x:row>
    <x:row r="15" ht="24" customHeight="1">
      <x:c r="A15" s="11" t="str">
        <x:v>Order count changed +33.5%; average order value changed -34.6%. Review product mix and the ranked segment declines below.</x:v>
      </x:c>
      <x:c r="B15" s="2"/>
      <x:c r="C15" s="2"/>
      <x:c r="D15" s="2"/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8" customHeight="1">
      <x:c r="A18" s="15" t="str">
        <x:v>Category</x:v>
      </x:c>
      <x:c r="B18" s="15" t="str">
        <x:v>Current sales</x:v>
      </x:c>
      <x:c r="C18" s="15" t="str">
        <x:v>Prior sales</x:v>
      </x:c>
      <x:c r="D18" s="15" t="str">
        <x:v>Sales change</x:v>
      </x:c>
      <x:c r="E18" s="15" t="str">
        <x:v>Change %</x:v>
      </x:c>
      <x:c r="F18" s="2"/>
    </x:row>
    <x:row r="19" ht="24" customHeight="1">
      <x:c r="A19" s="2" t="str">
        <x:v>Office Supplies</x:v>
      </x:c>
      <x:c r="B19" s="8" t="n">
        <x:v>29638.012</x:v>
      </x:c>
      <x:c r="C19" s="8" t="n">
        <x:v>36903.546</x:v>
      </x:c>
      <x:c r="D19" s="5" t="n">
        <x:f>B19-C19</x:f>
        <x:v>-7265.534000000003</x:v>
      </x:c>
      <x:c r="E19" s="7" t="n">
        <x:f>IF(C19=0,"n.a.",D19/C19)</x:f>
        <x:v>-0.1968790207856991</x:v>
      </x:c>
      <x:c r="F19" s="2"/>
    </x:row>
    <x:row r="20" ht="24" customHeight="1">
      <x:c r="A20" s="2" t="str">
        <x:v>Furniture</x:v>
      </x:c>
      <x:c r="B20" s="8" t="n">
        <x:v>31407.4668</x:v>
      </x:c>
      <x:c r="C20" s="8" t="n">
        <x:v>36604.965</x:v>
      </x:c>
      <x:c r="D20" s="5" t="n">
        <x:f>B20-C20</x:f>
        <x:v>-5197.498199999998</x:v>
      </x:c>
      <x:c r="E20" s="7" t="n">
        <x:f>IF(C20=0,"n.a.",D20/C20)</x:f>
        <x:v>-0.14198888593391631</x:v>
      </x:c>
      <x:c r="F20" s="2"/>
    </x:row>
    <x:row r="21" ht="24" customHeight="1">
      <x:c r="A21" s="2" t="str">
        <x:v>Technology</x:v>
      </x:c>
      <x:c r="B21" s="8" t="n">
        <x:v>21984.91</x:v>
      </x:c>
      <x:c r="C21" s="8" t="n">
        <x:v>21498.842</x:v>
      </x:c>
      <x:c r="D21" s="5" t="n">
        <x:f>B21-C21</x:f>
        <x:v>486.0679999999993</x:v>
      </x:c>
      <x:c r="E21" s="7" t="n">
        <x:f>IF(C21=0,"n.a.",D21/C21)</x:f>
        <x:v>0.0226090316864508</x:v>
      </x:c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8" customHeight="1">
      <x:c r="A25" s="15" t="str">
        <x:v>Region</x:v>
      </x:c>
      <x:c r="B25" s="15" t="str">
        <x:v>Current sales</x:v>
      </x:c>
      <x:c r="C25" s="15" t="str">
        <x:v>Prior sales</x:v>
      </x:c>
      <x:c r="D25" s="15" t="str">
        <x:v>Sales change</x:v>
      </x:c>
      <x:c r="E25" s="15" t="str">
        <x:v>Change %</x:v>
      </x:c>
      <x:c r="F25" s="2"/>
    </x:row>
    <x:row r="26" ht="24" customHeight="1">
      <x:c r="A26" s="2" t="str">
        <x:v>East</x:v>
      </x:c>
      <x:c r="B26" s="8" t="n">
        <x:v>19285.486</x:v>
      </x:c>
      <x:c r="C26" s="8" t="n">
        <x:v>27247.068</x:v>
      </x:c>
      <x:c r="D26" s="5" t="n">
        <x:f>B26-C26</x:f>
        <x:v>-7961.5819999999985</x:v>
      </x:c>
      <x:c r="E26" s="7" t="n">
        <x:f>IF(C26=0,"n.a.",D26/C26)</x:f>
        <x:v>-0.2921995863921945</x:v>
      </x:c>
      <x:c r="F26" s="2"/>
    </x:row>
    <x:row r="27" ht="24" customHeight="1">
      <x:c r="A27" s="2" t="str">
        <x:v>Central</x:v>
      </x:c>
      <x:c r="B27" s="8" t="n">
        <x:v>18883.0708</x:v>
      </x:c>
      <x:c r="C27" s="8" t="n">
        <x:v>25335.321</x:v>
      </x:c>
      <x:c r="D27" s="5" t="n">
        <x:f>B27-C27</x:f>
        <x:v>-6452.250199999999</x:v>
      </x:c>
      <x:c r="E27" s="7" t="n">
        <x:f>IF(C27=0,"n.a.",D27/C27)</x:f>
        <x:v>-0.25467410497778964</x:v>
      </x:c>
      <x:c r="F27" s="2"/>
    </x:row>
    <x:row r="28" ht="24" customHeight="1">
      <x:c r="A28" s="2" t="str">
        <x:v>West</x:v>
      </x:c>
      <x:c r="B28" s="8" t="n">
        <x:v>29652.095</x:v>
      </x:c>
      <x:c r="C28" s="8" t="n">
        <x:v>31599.038</x:v>
      </x:c>
      <x:c r="D28" s="5" t="n">
        <x:f>B28-C28</x:f>
        <x:v>-1946.9429999999993</x:v>
      </x:c>
      <x:c r="E28" s="7" t="n">
        <x:f>IF(C28=0,"n.a.",D28/C28)</x:f>
        <x:v>-0.06161399597038363</x:v>
      </x:c>
      <x:c r="F28" s="2"/>
    </x:row>
    <x:row r="29" ht="24" customHeight="1">
      <x:c r="A29" s="2" t="str">
        <x:v>South</x:v>
      </x:c>
      <x:c r="B29" s="8" t="n">
        <x:v>15209.737</x:v>
      </x:c>
      <x:c r="C29" s="8" t="n">
        <x:v>10825.926</x:v>
      </x:c>
      <x:c r="D29" s="5" t="n">
        <x:f>B29-C29</x:f>
        <x:v>4383.811</x:v>
      </x:c>
      <x:c r="E29" s="7" t="n">
        <x:f>IF(C29=0,"n.a.",D29/C29)</x:f>
        <x:v>0.40493635371237524</x:v>
      </x:c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10" t="str">
        <x:v>Review first · refreshed from the latest CSVs</x:v>
      </x:c>
      <x:c r="B32" s="2"/>
      <x:c r="C32" s="2"/>
      <x:c r="D32" s="2"/>
      <x:c r="E32" s="2"/>
      <x:c r="F32" s="2"/>
    </x:row>
    <x:row r="33" ht="38" customHeight="1">
      <x:c r="A33" s="15" t="str">
        <x:v>Priority</x:v>
      </x:c>
      <x:c r="B33" s="15" t="str">
        <x:v>View</x:v>
      </x:c>
      <x:c r="C33" s="15" t="str">
        <x:v>Segment</x:v>
      </x:c>
      <x:c r="D33" s="15" t="str">
        <x:v>Sales change</x:v>
      </x:c>
      <x:c r="E33" s="15" t="str">
        <x:v>Pattern</x:v>
      </x:c>
      <x:c r="F33" s="15" t="str">
        <x:v>Product IDs to check</x:v>
      </x:c>
    </x:row>
    <x:row r="34" ht="50" customHeight="1">
      <x:c r="A34" s="16" t="n">
        <x:v>1</x:v>
      </x:c>
      <x:c r="B34" s="16" t="str">
        <x:v>region</x:v>
      </x:c>
      <x:c r="C34" s="16" t="str">
        <x:v>East</x:v>
      </x:c>
      <x:c r="D34" s="17" t="n">
        <x:v>-7961.582</x:v>
      </x:c>
      <x:c r="E34" s="16" t="str">
        <x:v>More/same orders, lower sales per order</x:v>
      </x:c>
      <x:c r="F34" s="16" t="str">
        <x:v>FUR-CH-10002331, OFF-ST-10000142, TEC-CO-10002095</x:v>
      </x:c>
    </x:row>
    <x:row r="35" ht="50" customHeight="1">
      <x:c r="A35" s="16" t="n">
        <x:v>2</x:v>
      </x:c>
      <x:c r="B35" s="16" t="str">
        <x:v>category</x:v>
      </x:c>
      <x:c r="C35" s="16" t="str">
        <x:v>Office Supplies</x:v>
      </x:c>
      <x:c r="D35" s="17" t="n">
        <x:v>-7265.534</x:v>
      </x:c>
      <x:c r="E35" s="16" t="str">
        <x:v>More/same orders, lower sales per order</x:v>
      </x:c>
      <x:c r="F35" s="16" t="str">
        <x:v>OFF-BI-10000545, OFF-AP-10002945, OFF-ST-10000142</x:v>
      </x:c>
    </x:row>
    <x:row r="36" ht="50" customHeight="1">
      <x:c r="A36" s="16" t="n">
        <x:v>3</x:v>
      </x:c>
      <x:c r="B36" s="16" t="str">
        <x:v>region</x:v>
      </x:c>
      <x:c r="C36" s="16" t="str">
        <x:v>Central</x:v>
      </x:c>
      <x:c r="D36" s="17" t="n">
        <x:v>-6452.2502</x:v>
      </x:c>
      <x:c r="E36" s="16" t="str">
        <x:v>More/same orders, lower sales per order</x:v>
      </x:c>
      <x:c r="F36" s="16" t="str">
        <x:v>OFF-BI-10000545, FUR-CH-10000454, FUR-TA-10000198</x:v>
      </x:c>
    </x:row>
    <x:row r="37" ht="50" customHeight="1">
      <x:c r="A37" s="16" t="n">
        <x:v>4</x:v>
      </x:c>
      <x:c r="B37" s="16" t="str">
        <x:v>category</x:v>
      </x:c>
      <x:c r="C37" s="16" t="str">
        <x:v>Furniture</x:v>
      </x:c>
      <x:c r="D37" s="17" t="n">
        <x:v>-5197.4982</x:v>
      </x:c>
      <x:c r="E37" s="16" t="str">
        <x:v>More/same orders, lower sales per order</x:v>
      </x:c>
      <x:c r="F37" s="16" t="str">
        <x:v>FUR-CH-10002331, FUR-CH-10000454, FUR-TA-10001307</x:v>
      </x:c>
    </x:row>
    <x:row r="38" ht="50" customHeight="1">
      <x:c r="A38" s="16" t="n">
        <x:v>5</x:v>
      </x:c>
      <x:c r="B38" s="16" t="str">
        <x:v>region</x:v>
      </x:c>
      <x:c r="C38" s="16" t="str">
        <x:v>West</x:v>
      </x:c>
      <x:c r="D38" s="17" t="n">
        <x:v>-1946.943</x:v>
      </x:c>
      <x:c r="E38" s="16" t="str">
        <x:v>More/same orders, lower sales per order</x:v>
      </x:c>
      <x:c r="F38" s="16" t="str">
        <x:v>TEC-PH-10002200, FUR-TA-10001307, TEC-AC-10003870</x:v>
      </x:c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11" t="str">
        <x:v>Category and region views overlap. Review leads are not additive lost sales.</x:v>
      </x:c>
      <x:c r="B42" s="2"/>
      <x:c r="C42" s="2"/>
      <x:c r="D42" s="2"/>
      <x:c r="E42" s="2"/>
      <x:c r="F42" s="2"/>
    </x:row>
    <x:row r="43" ht="24" customHeight="1">
      <x:c r="A43" s="11" t="str">
        <x:v>Trace the listed product IDs to source orders; observed changes do not establish a cause.</x:v>
      </x:c>
      <x:c r="B43" s="2"/>
      <x:c r="C43" s="2"/>
      <x:c r="D43" s="2"/>
      <x:c r="E43" s="2"/>
      <x:c r="F43" s="2"/>
    </x:row>
  </x:sheetData>
  <x:conditionalFormatting sqref="D19:D21">
    <x:cfRule type="cellIs" dxfId="0" priority="1" operator="lessThan">
      <x:formula>0</x:formula>
    </x:cfRule>
  </x:conditionalFormatting>
  <x:conditionalFormatting sqref="D26:D2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13047"/>
  </x:sheetPr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Monthly sales refresh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18" t="str">
        <x:v>Full observed-month view | Through 2018-12 | Historical sample data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8" customHeight="1">
      <x:c r="A5" s="15" t="str">
        <x:v>Metric</x:v>
      </x:c>
      <x:c r="B5" s="15" t="str">
        <x:v>Value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 t="str">
        <x:v>Report month</x:v>
      </x:c>
      <x:c r="B6" s="19" t="n">
        <x:f>'Monthly detail'!A53</x:f>
        <x:v>43435.5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ht="24" customHeight="1">
      <x:c r="A7" s="2" t="str">
        <x:v>Latest month sales</x:v>
      </x:c>
      <x:c r="B7" s="5" t="n">
        <x:f>'Monthly detail'!E53</x:f>
        <x:v>83030.3888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 ht="24" customHeight="1">
      <x:c r="A8" s="2" t="str">
        <x:v>Latest month orders</x:v>
      </x:c>
      <x:c r="B8" s="6" t="n">
        <x:f>'Monthly detail'!D53</x:f>
        <x:v>223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A9" s="2" t="str">
        <x:v>Latest average order</x:v>
      </x:c>
      <x:c r="B9" s="5" t="n">
        <x:f>'Monthly detail'!J53</x:f>
        <x:v>372.3335820627803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 ht="24" customHeight="1">
      <x:c r="A10" s="2" t="str">
        <x:v>Full-month sales YoY</x:v>
      </x:c>
      <x:c r="B10" s="7" t="n">
        <x:f>'Monthly detail'!I53</x:f>
        <x:v>-0.1327433557698947</x:v>
      </x:c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A11" s="2" t="str">
        <x:v>Observed total sales</x:v>
      </x:c>
      <x:c r="B11" s="5" t="n">
        <x:f>SUM('Monthly detail'!E6:E53)</x:f>
        <x:v>2261536.7827</x:v>
      </x:c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4" customHeight="1">
      <x:c r="A12" s="2" t="str">
        <x:v>Distinct orders</x:v>
      </x:c>
      <x:c r="B12" s="6" t="n">
        <x:v>4922</x:v>
      </x:c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4" customHeight="1">
      <x:c r="A14" s="11" t="str">
        <x:v>Amounts use source monetary units; currency is unspecified.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4" customHeight="1">
      <x:c r="A15" s="11" t="str">
        <x:v>Full observed months; see Sales review for matching day-of-month cutoffs.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11" t="str">
        <x:v>All monthly files between the first and latest delivery are present.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38" customHeight="1">
      <x:c r="A20" s="15" t="str">
        <x:v>Month</x:v>
      </x:c>
      <x:c r="B20" s="15" t="str">
        <x:v>Lines</x:v>
      </x:c>
      <x:c r="C20" s="15" t="str">
        <x:v>Orders</x:v>
      </x:c>
      <x:c r="D20" s="15" t="str">
        <x:v>Sales</x:v>
      </x:c>
      <x:c r="E20" s="15" t="str">
        <x:v>Sales MoM</x:v>
      </x:c>
      <x:c r="F20" s="15" t="str">
        <x:v>Sales YoY</x:v>
      </x:c>
      <x:c r="G20" s="15" t="str">
        <x:v>Coverage</x:v>
      </x:c>
      <x:c r="H20" s="2"/>
      <x:c r="I20" s="2"/>
      <x:c r="J20" s="2"/>
      <x:c r="K20" s="2"/>
    </x:row>
    <x:row r="21" ht="24" customHeight="1">
      <x:c r="A21" s="19" t="n">
        <x:f>'Monthly detail'!A42</x:f>
        <x:v>43101.5</x:v>
      </x:c>
      <x:c r="B21" s="6" t="n">
        <x:f>'Monthly detail'!C42</x:f>
        <x:v>143</x:v>
      </x:c>
      <x:c r="C21" s="6" t="n">
        <x:f>'Monthly detail'!D42</x:f>
        <x:v>67</x:v>
      </x:c>
      <x:c r="D21" s="5" t="n">
        <x:f>IF('Monthly detail'!B42="Missing file","",'Monthly detail'!E42)</x:f>
        <x:v>43476.474</x:v>
      </x:c>
      <x:c r="E21" s="7" t="n">
        <x:f>'Monthly detail'!G42</x:f>
        <x:v>-0.5458860124692392</x:v>
      </x:c>
      <x:c r="F21" s="7" t="n">
        <x:f>'Monthly detail'!I42</x:f>
        <x:v>1.3446943563300096</x:v>
      </x:c>
      <x:c r="G21" s="2" t="str">
        <x:f>'Monthly detail'!B42</x:f>
        <x:v>Imported</x:v>
      </x:c>
      <x:c r="H21" s="2"/>
      <x:c r="I21" s="2"/>
      <x:c r="J21" s="2"/>
      <x:c r="K21" s="2"/>
    </x:row>
    <x:row r="22" ht="24" customHeight="1">
      <x:c r="A22" s="19" t="n">
        <x:f>'Monthly detail'!A43</x:f>
        <x:v>43132.5</x:v>
      </x:c>
      <x:c r="B22" s="6" t="n">
        <x:f>'Monthly detail'!C43</x:f>
        <x:v>104</x:v>
      </x:c>
      <x:c r="C22" s="6" t="n">
        <x:f>'Monthly detail'!D43</x:f>
        <x:v>52</x:v>
      </x:c>
      <x:c r="D22" s="5" t="n">
        <x:f>IF('Monthly detail'!B43="Missing file","",'Monthly detail'!E43)</x:f>
        <x:v>19920.9974</x:v>
      </x:c>
      <x:c r="E22" s="7" t="n">
        <x:f>'Monthly detail'!G43</x:f>
        <x:v>-0.5417982286236</x:v>
      </x:c>
      <x:c r="F22" s="7" t="n">
        <x:f>'Monthly detail'!I43</x:f>
        <x:v>-0.13307116141541675</x:v>
      </x:c>
      <x:c r="G22" s="2" t="str">
        <x:f>'Monthly detail'!B43</x:f>
        <x:v>Imported</x:v>
      </x:c>
      <x:c r="H22" s="2"/>
      <x:c r="I22" s="2"/>
      <x:c r="J22" s="2"/>
      <x:c r="K22" s="2"/>
    </x:row>
    <x:row r="23" ht="24" customHeight="1">
      <x:c r="A23" s="19" t="n">
        <x:f>'Monthly detail'!A44</x:f>
        <x:v>43160.5</x:v>
      </x:c>
      <x:c r="B23" s="6" t="n">
        <x:f>'Monthly detail'!C44</x:f>
        <x:v>237</x:v>
      </x:c>
      <x:c r="C23" s="6" t="n">
        <x:f>'Monthly detail'!D44</x:f>
        <x:v>117</x:v>
      </x:c>
      <x:c r="D23" s="5" t="n">
        <x:f>IF('Monthly detail'!B44="Missing file","",'Monthly detail'!E44)</x:f>
        <x:v>58863.4128</x:v>
      </x:c>
      <x:c r="E23" s="7" t="n">
        <x:f>'Monthly detail'!G44</x:f>
        <x:v>1.954842652607344</x:v>
      </x:c>
      <x:c r="F23" s="7" t="n">
        <x:f>'Monthly detail'!I44</x:f>
        <x:v>0.15046115357748335</x:v>
      </x:c>
      <x:c r="G23" s="2" t="str">
        <x:f>'Monthly detail'!B44</x:f>
        <x:v>Imported</x:v>
      </x:c>
      <x:c r="H23" s="2"/>
      <x:c r="I23" s="2"/>
      <x:c r="J23" s="2"/>
      <x:c r="K23" s="2"/>
    </x:row>
    <x:row r="24" ht="24" customHeight="1">
      <x:c r="A24" s="19" t="n">
        <x:f>'Monthly detail'!A45</x:f>
        <x:v>43191.5</x:v>
      </x:c>
      <x:c r="B24" s="6" t="n">
        <x:f>'Monthly detail'!C45</x:f>
        <x:v>200</x:v>
      </x:c>
      <x:c r="C24" s="6" t="n">
        <x:f>'Monthly detail'!D45</x:f>
        <x:v>115</x:v>
      </x:c>
      <x:c r="D24" s="5" t="n">
        <x:f>IF('Monthly detail'!B45="Missing file","",'Monthly detail'!E45)</x:f>
        <x:v>35541.9101</x:v>
      </x:c>
      <x:c r="E24" s="7" t="n">
        <x:f>'Monthly detail'!G45</x:f>
        <x:v>-0.39619691741692553</x:v>
      </x:c>
      <x:c r="F24" s="7" t="n">
        <x:f>'Monthly detail'!I45</x:f>
        <x:v>-0.08112398660519338</x:v>
      </x:c>
      <x:c r="G24" s="2" t="str">
        <x:f>'Monthly detail'!B45</x:f>
        <x:v>Imported</x:v>
      </x:c>
      <x:c r="H24" s="2"/>
      <x:c r="I24" s="2"/>
      <x:c r="J24" s="2"/>
      <x:c r="K24" s="2"/>
    </x:row>
    <x:row r="25" ht="24" customHeight="1">
      <x:c r="A25" s="19" t="n">
        <x:f>'Monthly detail'!A46</x:f>
        <x:v>43221.5</x:v>
      </x:c>
      <x:c r="B25" s="6" t="n">
        <x:f>'Monthly detail'!C46</x:f>
        <x:v>240</x:v>
      </x:c>
      <x:c r="C25" s="6" t="n">
        <x:f>'Monthly detail'!D46</x:f>
        <x:v>116</x:v>
      </x:c>
      <x:c r="D25" s="5" t="n">
        <x:f>IF('Monthly detail'!B46="Missing file","",'Monthly detail'!E46)</x:f>
        <x:v>43825.9822</x:v>
      </x:c>
      <x:c r="E25" s="7" t="n">
        <x:f>'Monthly detail'!G46</x:f>
        <x:v>0.2330789784986822</x:v>
      </x:c>
      <x:c r="F25" s="7" t="n">
        <x:f>'Monthly detail'!I46</x:f>
        <x:v>-0.22646710265233683</x:v>
      </x:c>
      <x:c r="G25" s="2" t="str">
        <x:f>'Monthly detail'!B46</x:f>
        <x:v>Imported</x:v>
      </x:c>
      <x:c r="H25" s="2"/>
      <x:c r="I25" s="2"/>
      <x:c r="J25" s="2"/>
      <x:c r="K25" s="2"/>
    </x:row>
    <x:row r="26" ht="24" customHeight="1">
      <x:c r="A26" s="19" t="n">
        <x:f>'Monthly detail'!A47</x:f>
        <x:v>43252.5</x:v>
      </x:c>
      <x:c r="B26" s="6" t="n">
        <x:f>'Monthly detail'!C47</x:f>
        <x:v>235</x:v>
      </x:c>
      <x:c r="C26" s="6" t="n">
        <x:f>'Monthly detail'!D47</x:f>
        <x:v>129</x:v>
      </x:c>
      <x:c r="D26" s="5" t="n">
        <x:f>IF('Monthly detail'!B47="Missing file","",'Monthly detail'!E47)</x:f>
        <x:v>48190.7277</x:v>
      </x:c>
      <x:c r="E26" s="7" t="n">
        <x:f>'Monthly detail'!G47</x:f>
        <x:v>0.09959264529615042</x:v>
      </x:c>
      <x:c r="F26" s="7" t="n">
        <x:f>'Monthly detail'!I47</x:f>
        <x:v>0.21312400870334747</x:v>
      </x:c>
      <x:c r="G26" s="2" t="str">
        <x:f>'Monthly detail'!B47</x:f>
        <x:v>Imported</x:v>
      </x:c>
      <x:c r="H26" s="2"/>
      <x:c r="I26" s="2"/>
      <x:c r="J26" s="2"/>
      <x:c r="K26" s="2"/>
    </x:row>
    <x:row r="27" ht="24" customHeight="1">
      <x:c r="A27" s="19" t="n">
        <x:f>'Monthly detail'!A48</x:f>
        <x:v>43282.5</x:v>
      </x:c>
      <x:c r="B27" s="6" t="n">
        <x:f>'Monthly detail'!C48</x:f>
        <x:v>223</x:v>
      </x:c>
      <x:c r="C27" s="6" t="n">
        <x:f>'Monthly detail'!D48</x:f>
        <x:v>108</x:v>
      </x:c>
      <x:c r="D27" s="5" t="n">
        <x:f>IF('Monthly detail'!B48="Missing file","",'Monthly detail'!E48)</x:f>
        <x:v>44825.104</x:v>
      </x:c>
      <x:c r="E27" s="7" t="n">
        <x:f>'Monthly detail'!G48</x:f>
        <x:v>-0.0698396529920009</x:v>
      </x:c>
      <x:c r="F27" s="7" t="n">
        <x:f>'Monthly detail'!I48</x:f>
        <x:v>0.16973350988157</x:v>
      </x:c>
      <x:c r="G27" s="2" t="str">
        <x:f>'Monthly detail'!B48</x:f>
        <x:v>Imported</x:v>
      </x:c>
      <x:c r="H27" s="2"/>
      <x:c r="I27" s="2"/>
      <x:c r="J27" s="2"/>
      <x:c r="K27" s="2"/>
    </x:row>
    <x:row r="28" ht="24" customHeight="1">
      <x:c r="A28" s="19" t="n">
        <x:f>'Monthly detail'!A49</x:f>
        <x:v>43313.5</x:v>
      </x:c>
      <x:c r="B28" s="6" t="n">
        <x:f>'Monthly detail'!C49</x:f>
        <x:v>214</x:v>
      </x:c>
      <x:c r="C28" s="6" t="n">
        <x:f>'Monthly detail'!D49</x:f>
        <x:v>109</x:v>
      </x:c>
      <x:c r="D28" s="5" t="n">
        <x:f>IF('Monthly detail'!B49="Missing file","",'Monthly detail'!E49)</x:f>
        <x:v>62837.848</x:v>
      </x:c>
      <x:c r="E28" s="7" t="n">
        <x:f>'Monthly detail'!G49</x:f>
        <x:v>0.40184500185431804</x:v>
      </x:c>
      <x:c r="F28" s="7" t="n">
        <x:f>'Monthly detail'!I49</x:f>
        <x:v>1.0574106443798024</x:v>
      </x:c>
      <x:c r="G28" s="2" t="str">
        <x:f>'Monthly detail'!B49</x:f>
        <x:v>Imported</x:v>
      </x:c>
      <x:c r="H28" s="2"/>
      <x:c r="I28" s="2"/>
      <x:c r="J28" s="2"/>
      <x:c r="K28" s="2"/>
    </x:row>
    <x:row r="29" ht="24" customHeight="1">
      <x:c r="A29" s="19" t="n">
        <x:f>'Monthly detail'!A50</x:f>
        <x:v>43344.5</x:v>
      </x:c>
      <x:c r="B29" s="6" t="n">
        <x:f>'Monthly detail'!C50</x:f>
        <x:v>453</x:v>
      </x:c>
      <x:c r="C29" s="6" t="n">
        <x:f>'Monthly detail'!D50</x:f>
        <x:v>222</x:v>
      </x:c>
      <x:c r="D29" s="5" t="n">
        <x:f>IF('Monthly detail'!B50="Missing file","",'Monthly detail'!E50)</x:f>
        <x:v>86152.888</x:v>
      </x:c>
      <x:c r="E29" s="7" t="n">
        <x:f>'Monthly detail'!G50</x:f>
        <x:v>0.3710349851573531</x:v>
      </x:c>
      <x:c r="F29" s="7" t="n">
        <x:f>'Monthly detail'!I50</x:f>
        <x:v>0.24510284695413032</x:v>
      </x:c>
      <x:c r="G29" s="2" t="str">
        <x:f>'Monthly detail'!B50</x:f>
        <x:v>Imported</x:v>
      </x:c>
      <x:c r="H29" s="2"/>
      <x:c r="I29" s="2"/>
      <x:c r="J29" s="2"/>
      <x:c r="K29" s="2"/>
    </x:row>
    <x:row r="30" ht="24" customHeight="1">
      <x:c r="A30" s="19" t="n">
        <x:f>'Monthly detail'!A51</x:f>
        <x:v>43374.5</x:v>
      </x:c>
      <x:c r="B30" s="6" t="n">
        <x:f>'Monthly detail'!C51</x:f>
        <x:v>294</x:v>
      </x:c>
      <x:c r="C30" s="6" t="n">
        <x:f>'Monthly detail'!D51</x:f>
        <x:v>144</x:v>
      </x:c>
      <x:c r="D30" s="5" t="n">
        <x:f>IF('Monthly detail'!B51="Missing file","",'Monthly detail'!E51)</x:f>
        <x:v>77448.1312</x:v>
      </x:c>
      <x:c r="E30" s="7" t="n">
        <x:f>'Monthly detail'!G51</x:f>
        <x:v>-0.10103847940651745</x:v>
      </x:c>
      <x:c r="F30" s="7" t="n">
        <x:f>'Monthly detail'!I51</x:f>
        <x:v>0.2998353272818455</x:v>
      </x:c>
      <x:c r="G30" s="2" t="str">
        <x:f>'Monthly detail'!B51</x:f>
        <x:v>Imported</x:v>
      </x:c>
      <x:c r="H30" s="2"/>
      <x:c r="I30" s="2"/>
      <x:c r="J30" s="2"/>
      <x:c r="K30" s="2"/>
    </x:row>
    <x:row r="31" ht="24" customHeight="1">
      <x:c r="A31" s="19" t="n">
        <x:f>'Monthly detail'!A52</x:f>
        <x:v>43405.5</x:v>
      </x:c>
      <x:c r="B31" s="6" t="n">
        <x:f>'Monthly detail'!C52</x:f>
        <x:v>456</x:v>
      </x:c>
      <x:c r="C31" s="6" t="n">
        <x:f>'Monthly detail'!D52</x:f>
        <x:v>259</x:v>
      </x:c>
      <x:c r="D31" s="5" t="n">
        <x:f>IF('Monthly detail'!B52="Missing file","",'Monthly detail'!E52)</x:f>
        <x:v>117938.155</x:v>
      </x:c>
      <x:c r="E31" s="7" t="n">
        <x:f>'Monthly detail'!G52</x:f>
        <x:v>0.5228018181024876</x:v>
      </x:c>
      <x:c r="F31" s="7" t="n">
        <x:f>'Monthly detail'!I52</x:f>
        <x:v>0.4916325025751298</x:v>
      </x:c>
      <x:c r="G31" s="2" t="str">
        <x:f>'Monthly detail'!B52</x:f>
        <x:v>Imported</x:v>
      </x:c>
      <x:c r="H31" s="2"/>
      <x:c r="I31" s="2"/>
      <x:c r="J31" s="2"/>
      <x:c r="K31" s="2"/>
    </x:row>
    <x:row r="32" ht="24" customHeight="1">
      <x:c r="A32" s="19" t="n">
        <x:f>'Monthly detail'!A53</x:f>
        <x:v>43435.5</x:v>
      </x:c>
      <x:c r="B32" s="6" t="n">
        <x:f>'Monthly detail'!C53</x:f>
        <x:v>459</x:v>
      </x:c>
      <x:c r="C32" s="6" t="n">
        <x:f>'Monthly detail'!D53</x:f>
        <x:v>223</x:v>
      </x:c>
      <x:c r="D32" s="5" t="n">
        <x:f>IF('Monthly detail'!B53="Missing file","",'Monthly detail'!E53)</x:f>
        <x:v>83030.3888</x:v>
      </x:c>
      <x:c r="E32" s="7" t="n">
        <x:f>'Monthly detail'!G53</x:f>
        <x:v>-0.29598365516231795</x:v>
      </x:c>
      <x:c r="F32" s="7" t="n">
        <x:f>'Monthly detail'!I53</x:f>
        <x:v>-0.1327433557698947</x:v>
      </x:c>
      <x:c r="G32" s="2" t="str">
        <x:f>'Monthly detail'!B53</x:f>
        <x:v>Imported</x:v>
      </x:c>
      <x:c r="H32" s="2"/>
      <x:c r="I32" s="2"/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11" t="str">
        <x:v>Refresh creates a dated version. Review notes are stored separately and rejoined by month + category.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</x:sheetData>
  <x:pageMargins left="0.7" right="0.7" top="0.75" bottom="0.75" header="0.3" footer="0.3"/>
  <x:drawing xmlns:r="http://schemas.openxmlformats.org/officeDocument/2006/relationships" r:id="Rf580742654354de4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Monthly inputs &amp; calculations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Source: kaggle.com/datasets/rohitsahoo/sales-forecasting (GPL 2). Dates: day/month/year. Sales: source units.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15" t="str">
        <x:v>Month</x:v>
      </x:c>
      <x:c r="B5" s="15" t="str">
        <x:v>Coverage</x:v>
      </x:c>
      <x:c r="C5" s="15" t="str">
        <x:v>Lines</x:v>
      </x:c>
      <x:c r="D5" s="15" t="str">
        <x:v>Orders</x:v>
      </x:c>
      <x:c r="E5" s="15" t="str">
        <x:v>Sales</x:v>
      </x:c>
      <x:c r="F5" s="15" t="str">
        <x:v>Prior month sales</x:v>
      </x:c>
      <x:c r="G5" s="15" t="str">
        <x:v>Sales MoM</x:v>
      </x:c>
      <x:c r="H5" s="15" t="str">
        <x:v>Prior year sales</x:v>
      </x:c>
      <x:c r="I5" s="15" t="str">
        <x:v>Sales YoY</x:v>
      </x:c>
      <x:c r="J5" s="15" t="str">
        <x:v>Average order</x:v>
      </x:c>
      <x:c r="K5" s="2"/>
      <x:c r="L5" s="2"/>
      <x:c r="M5" s="2"/>
    </x:row>
    <x:row r="6" ht="24" customHeight="1">
      <x:c r="A6" s="19" t="d">
        <x:v>2015-01-01T12:00:00.000Z</x:v>
      </x:c>
      <x:c r="B6" s="20" t="str">
        <x:v>Imported</x:v>
      </x:c>
      <x:c r="C6" s="9" t="n">
        <x:v>77</x:v>
      </x:c>
      <x:c r="D6" s="9" t="n">
        <x:v>30</x:v>
      </x:c>
      <x:c r="E6" s="8" t="n">
        <x:v>14205.707</x:v>
      </x:c>
      <x:c r="F6" s="5" t="str">
        <x:f>""</x:f>
      </x:c>
      <x:c r="G6" s="7" t="str">
        <x:f>IF(OR(B6="Missing file",F6="",F6=0),"n.a.",E6/F6-1)</x:f>
        <x:v>n.a.</x:v>
      </x:c>
      <x:c r="H6" s="5" t="str">
        <x:f>""</x:f>
      </x:c>
      <x:c r="I6" s="7" t="str">
        <x:f>IF(OR(B6="Missing file",H6="",H6=0),"n.a.",E6/H6-1)</x:f>
        <x:v>n.a.</x:v>
      </x:c>
      <x:c r="J6" s="5" t="n">
        <x:f>IF(OR(B6="Missing file",D6=0),"n.a.",E6/D6)</x:f>
        <x:v>473.5235666666667</x:v>
      </x:c>
      <x:c r="K6" s="2"/>
      <x:c r="L6" s="2"/>
      <x:c r="M6" s="2"/>
    </x:row>
    <x:row r="7" ht="24" customHeight="1">
      <x:c r="A7" s="19" t="d">
        <x:v>2015-02-01T12:00:00.000Z</x:v>
      </x:c>
      <x:c r="B7" s="20" t="str">
        <x:v>Imported</x:v>
      </x:c>
      <x:c r="C7" s="9" t="n">
        <x:v>46</x:v>
      </x:c>
      <x:c r="D7" s="9" t="n">
        <x:v>28</x:v>
      </x:c>
      <x:c r="E7" s="8" t="n">
        <x:v>4519.892</x:v>
      </x:c>
      <x:c r="F7" s="5" t="n">
        <x:f>IF(B6="Missing file","",E6)</x:f>
        <x:v>14205.707</x:v>
      </x:c>
      <x:c r="G7" s="7" t="n">
        <x:f>IF(OR(B7="Missing file",F7="",F7=0),"n.a.",E7/F7-1)</x:f>
        <x:v>-0.6818256212098419</x:v>
      </x:c>
      <x:c r="H7" s="5" t="str">
        <x:f>""</x:f>
      </x:c>
      <x:c r="I7" s="7" t="str">
        <x:f>IF(OR(B7="Missing file",H7="",H7=0),"n.a.",E7/H7-1)</x:f>
        <x:v>n.a.</x:v>
      </x:c>
      <x:c r="J7" s="5" t="n">
        <x:f>IF(OR(B7="Missing file",D7=0),"n.a.",E7/D7)</x:f>
        <x:v>161.4247142857143</x:v>
      </x:c>
      <x:c r="K7" s="2"/>
      <x:c r="L7" s="2"/>
      <x:c r="M7" s="2"/>
    </x:row>
    <x:row r="8" ht="24" customHeight="1">
      <x:c r="A8" s="19" t="d">
        <x:v>2015-03-01T12:00:00.000Z</x:v>
      </x:c>
      <x:c r="B8" s="20" t="str">
        <x:v>Imported</x:v>
      </x:c>
      <x:c r="C8" s="9" t="n">
        <x:v>154</x:v>
      </x:c>
      <x:c r="D8" s="9" t="n">
        <x:v>69</x:v>
      </x:c>
      <x:c r="E8" s="8" t="n">
        <x:v>55205.797</x:v>
      </x:c>
      <x:c r="F8" s="5" t="n">
        <x:f>IF(B7="Missing file","",E7)</x:f>
        <x:v>4519.892</x:v>
      </x:c>
      <x:c r="G8" s="7" t="n">
        <x:f>IF(OR(B8="Missing file",F8="",F8=0),"n.a.",E8/F8-1)</x:f>
        <x:v>11.213963740726548</x:v>
      </x:c>
      <x:c r="H8" s="5" t="str">
        <x:f>""</x:f>
      </x:c>
      <x:c r="I8" s="7" t="str">
        <x:f>IF(OR(B8="Missing file",H8="",H8=0),"n.a.",E8/H8-1)</x:f>
        <x:v>n.a.</x:v>
      </x:c>
      <x:c r="J8" s="5" t="n">
        <x:f>IF(OR(B8="Missing file",D8=0),"n.a.",E8/D8)</x:f>
        <x:v>800.0840144927536</x:v>
      </x:c>
      <x:c r="K8" s="2"/>
      <x:c r="L8" s="2"/>
      <x:c r="M8" s="2"/>
    </x:row>
    <x:row r="9" ht="24" customHeight="1">
      <x:c r="A9" s="19" t="d">
        <x:v>2015-04-01T12:00:00.000Z</x:v>
      </x:c>
      <x:c r="B9" s="20" t="str">
        <x:v>Imported</x:v>
      </x:c>
      <x:c r="C9" s="9" t="n">
        <x:v>130</x:v>
      </x:c>
      <x:c r="D9" s="9" t="n">
        <x:v>63</x:v>
      </x:c>
      <x:c r="E9" s="8" t="n">
        <x:v>27906.855</x:v>
      </x:c>
      <x:c r="F9" s="5" t="n">
        <x:f>IF(B8="Missing file","",E8)</x:f>
        <x:v>55205.797</x:v>
      </x:c>
      <x:c r="G9" s="7" t="n">
        <x:f>IF(OR(B9="Missing file",F9="",F9=0),"n.a.",E9/F9-1)</x:f>
        <x:v>-0.4944941198838231</x:v>
      </x:c>
      <x:c r="H9" s="5" t="str">
        <x:f>""</x:f>
      </x:c>
      <x:c r="I9" s="7" t="str">
        <x:f>IF(OR(B9="Missing file",H9="",H9=0),"n.a.",E9/H9-1)</x:f>
        <x:v>n.a.</x:v>
      </x:c>
      <x:c r="J9" s="5" t="n">
        <x:f>IF(OR(B9="Missing file",D9=0),"n.a.",E9/D9)</x:f>
        <x:v>442.9659523809524</x:v>
      </x:c>
      <x:c r="K9" s="2"/>
      <x:c r="L9" s="2"/>
      <x:c r="M9" s="2"/>
    </x:row>
    <x:row r="10" ht="24" customHeight="1">
      <x:c r="A10" s="19" t="d">
        <x:v>2015-05-01T12:00:00.000Z</x:v>
      </x:c>
      <x:c r="B10" s="20" t="str">
        <x:v>Imported</x:v>
      </x:c>
      <x:c r="C10" s="9" t="n">
        <x:v>121</x:v>
      </x:c>
      <x:c r="D10" s="9" t="n">
        <x:v>68</x:v>
      </x:c>
      <x:c r="E10" s="8" t="n">
        <x:v>23644.303</x:v>
      </x:c>
      <x:c r="F10" s="5" t="n">
        <x:f>IF(B9="Missing file","",E9)</x:f>
        <x:v>27906.855</x:v>
      </x:c>
      <x:c r="G10" s="7" t="n">
        <x:f>IF(OR(B10="Missing file",F10="",F10=0),"n.a.",E10/F10-1)</x:f>
        <x:v>-0.15274211300413465</x:v>
      </x:c>
      <x:c r="H10" s="5" t="str">
        <x:f>""</x:f>
      </x:c>
      <x:c r="I10" s="7" t="str">
        <x:f>IF(OR(B10="Missing file",H10="",H10=0),"n.a.",E10/H10-1)</x:f>
        <x:v>n.a.</x:v>
      </x:c>
      <x:c r="J10" s="5" t="n">
        <x:f>IF(OR(B10="Missing file",D10=0),"n.a.",E10/D10)</x:f>
        <x:v>347.7103382352941</x:v>
      </x:c>
      <x:c r="K10" s="2"/>
      <x:c r="L10" s="2"/>
      <x:c r="M10" s="2"/>
    </x:row>
    <x:row r="11" ht="24" customHeight="1">
      <x:c r="A11" s="19" t="d">
        <x:v>2015-06-01T12:00:00.000Z</x:v>
      </x:c>
      <x:c r="B11" s="20" t="str">
        <x:v>Imported</x:v>
      </x:c>
      <x:c r="C11" s="9" t="n">
        <x:v>131</x:v>
      </x:c>
      <x:c r="D11" s="9" t="n">
        <x:v>64</x:v>
      </x:c>
      <x:c r="E11" s="8" t="n">
        <x:v>34322.9356</x:v>
      </x:c>
      <x:c r="F11" s="5" t="n">
        <x:f>IF(B10="Missing file","",E10)</x:f>
        <x:v>23644.303</x:v>
      </x:c>
      <x:c r="G11" s="7" t="n">
        <x:f>IF(OR(B11="Missing file",F11="",F11=0),"n.a.",E11/F11-1)</x:f>
        <x:v>0.4516365993110474</x:v>
      </x:c>
      <x:c r="H11" s="5" t="str">
        <x:f>""</x:f>
      </x:c>
      <x:c r="I11" s="7" t="str">
        <x:f>IF(OR(B11="Missing file",H11="",H11=0),"n.a.",E11/H11-1)</x:f>
        <x:v>n.a.</x:v>
      </x:c>
      <x:c r="J11" s="5" t="n">
        <x:f>IF(OR(B11="Missing file",D11=0),"n.a.",E11/D11)</x:f>
        <x:v>536.29586875</x:v>
      </x:c>
      <x:c r="K11" s="2"/>
      <x:c r="L11" s="2"/>
      <x:c r="M11" s="2"/>
    </x:row>
    <x:row r="12" ht="24" customHeight="1">
      <x:c r="A12" s="19" t="d">
        <x:v>2015-07-01T12:00:00.000Z</x:v>
      </x:c>
      <x:c r="B12" s="20" t="str">
        <x:v>Imported</x:v>
      </x:c>
      <x:c r="C12" s="9" t="n">
        <x:v>142</x:v>
      </x:c>
      <x:c r="D12" s="9" t="n">
        <x:v>64</x:v>
      </x:c>
      <x:c r="E12" s="8" t="n">
        <x:v>33781.543</x:v>
      </x:c>
      <x:c r="F12" s="5" t="n">
        <x:f>IF(B11="Missing file","",E11)</x:f>
        <x:v>34322.9356</x:v>
      </x:c>
      <x:c r="G12" s="7" t="n">
        <x:f>IF(OR(B12="Missing file",F12="",F12=0),"n.a.",E12/F12-1)</x:f>
        <x:v>-0.015773493453747567</x:v>
      </x:c>
      <x:c r="H12" s="5" t="str">
        <x:f>""</x:f>
      </x:c>
      <x:c r="I12" s="7" t="str">
        <x:f>IF(OR(B12="Missing file",H12="",H12=0),"n.a.",E12/H12-1)</x:f>
        <x:v>n.a.</x:v>
      </x:c>
      <x:c r="J12" s="5" t="n">
        <x:f>IF(OR(B12="Missing file",D12=0),"n.a.",E12/D12)</x:f>
        <x:v>527.836609375</x:v>
      </x:c>
      <x:c r="K12" s="2"/>
      <x:c r="L12" s="2"/>
      <x:c r="M12" s="2"/>
    </x:row>
    <x:row r="13" ht="24" customHeight="1">
      <x:c r="A13" s="19" t="d">
        <x:v>2015-08-01T12:00:00.000Z</x:v>
      </x:c>
      <x:c r="B13" s="20" t="str">
        <x:v>Imported</x:v>
      </x:c>
      <x:c r="C13" s="9" t="n">
        <x:v>146</x:v>
      </x:c>
      <x:c r="D13" s="9" t="n">
        <x:v>70</x:v>
      </x:c>
      <x:c r="E13" s="8" t="n">
        <x:v>27117.5365</x:v>
      </x:c>
      <x:c r="F13" s="5" t="n">
        <x:f>IF(B12="Missing file","",E12)</x:f>
        <x:v>33781.543</x:v>
      </x:c>
      <x:c r="G13" s="7" t="n">
        <x:f>IF(OR(B13="Missing file",F13="",F13=0),"n.a.",E13/F13-1)</x:f>
        <x:v>-0.19726767661264022</x:v>
      </x:c>
      <x:c r="H13" s="5" t="str">
        <x:f>""</x:f>
      </x:c>
      <x:c r="I13" s="7" t="str">
        <x:f>IF(OR(B13="Missing file",H13="",H13=0),"n.a.",E13/H13-1)</x:f>
        <x:v>n.a.</x:v>
      </x:c>
      <x:c r="J13" s="5" t="n">
        <x:f>IF(OR(B13="Missing file",D13=0),"n.a.",E13/D13)</x:f>
        <x:v>387.39337857142857</x:v>
      </x:c>
      <x:c r="K13" s="2"/>
      <x:c r="L13" s="2"/>
      <x:c r="M13" s="2"/>
    </x:row>
    <x:row r="14" ht="24" customHeight="1">
      <x:c r="A14" s="19" t="d">
        <x:v>2015-09-01T12:00:00.000Z</x:v>
      </x:c>
      <x:c r="B14" s="20" t="str">
        <x:v>Imported</x:v>
      </x:c>
      <x:c r="C14" s="9" t="n">
        <x:v>267</x:v>
      </x:c>
      <x:c r="D14" s="9" t="n">
        <x:v>129</x:v>
      </x:c>
      <x:c r="E14" s="8" t="n">
        <x:v>81623.5268</x:v>
      </x:c>
      <x:c r="F14" s="5" t="n">
        <x:f>IF(B13="Missing file","",E13)</x:f>
        <x:v>27117.5365</x:v>
      </x:c>
      <x:c r="G14" s="7" t="n">
        <x:f>IF(OR(B14="Missing file",F14="",F14=0),"n.a.",E14/F14-1)</x:f>
        <x:v>2.0099904834644553</x:v>
      </x:c>
      <x:c r="H14" s="5" t="str">
        <x:f>""</x:f>
      </x:c>
      <x:c r="I14" s="7" t="str">
        <x:f>IF(OR(B14="Missing file",H14="",H14=0),"n.a.",E14/H14-1)</x:f>
        <x:v>n.a.</x:v>
      </x:c>
      <x:c r="J14" s="5" t="n">
        <x:f>IF(OR(B14="Missing file",D14=0),"n.a.",E14/D14)</x:f>
        <x:v>632.7405178294574</x:v>
      </x:c>
      <x:c r="K14" s="2"/>
      <x:c r="L14" s="2"/>
      <x:c r="M14" s="2"/>
    </x:row>
    <x:row r="15" ht="24" customHeight="1">
      <x:c r="A15" s="19" t="d">
        <x:v>2015-10-01T12:00:00.000Z</x:v>
      </x:c>
      <x:c r="B15" s="20" t="str">
        <x:v>Imported</x:v>
      </x:c>
      <x:c r="C15" s="9" t="n">
        <x:v>159</x:v>
      </x:c>
      <x:c r="D15" s="9" t="n">
        <x:v>78</x:v>
      </x:c>
      <x:c r="E15" s="8" t="n">
        <x:v>31453.393</x:v>
      </x:c>
      <x:c r="F15" s="5" t="n">
        <x:f>IF(B14="Missing file","",E14)</x:f>
        <x:v>81623.5268</x:v>
      </x:c>
      <x:c r="G15" s="7" t="n">
        <x:f>IF(OR(B15="Missing file",F15="",F15=0),"n.a.",E15/F15-1)</x:f>
        <x:v>-0.6146528552108581</x:v>
      </x:c>
      <x:c r="H15" s="5" t="str">
        <x:f>""</x:f>
      </x:c>
      <x:c r="I15" s="7" t="str">
        <x:f>IF(OR(B15="Missing file",H15="",H15=0),"n.a.",E15/H15-1)</x:f>
        <x:v>n.a.</x:v>
      </x:c>
      <x:c r="J15" s="5" t="n">
        <x:f>IF(OR(B15="Missing file",D15=0),"n.a.",E15/D15)</x:f>
        <x:v>403.2486282051282</x:v>
      </x:c>
      <x:c r="K15" s="2"/>
      <x:c r="L15" s="2"/>
      <x:c r="M15" s="2"/>
    </x:row>
    <x:row r="16" ht="24" customHeight="1">
      <x:c r="A16" s="19" t="d">
        <x:v>2015-11-01T12:00:00.000Z</x:v>
      </x:c>
      <x:c r="B16" s="20" t="str">
        <x:v>Imported</x:v>
      </x:c>
      <x:c r="C16" s="9" t="n">
        <x:v>306</x:v>
      </x:c>
      <x:c r="D16" s="9" t="n">
        <x:v>145</x:v>
      </x:c>
      <x:c r="E16" s="8" t="n">
        <x:v>77907.6607</x:v>
      </x:c>
      <x:c r="F16" s="5" t="n">
        <x:f>IF(B15="Missing file","",E15)</x:f>
        <x:v>31453.393</x:v>
      </x:c>
      <x:c r="G16" s="7" t="n">
        <x:f>IF(OR(B16="Missing file",F16="",F16=0),"n.a.",E16/F16-1)</x:f>
        <x:v>1.476923894983285</x:v>
      </x:c>
      <x:c r="H16" s="5" t="str">
        <x:f>""</x:f>
      </x:c>
      <x:c r="I16" s="7" t="str">
        <x:f>IF(OR(B16="Missing file",H16="",H16=0),"n.a.",E16/H16-1)</x:f>
        <x:v>n.a.</x:v>
      </x:c>
      <x:c r="J16" s="5" t="n">
        <x:f>IF(OR(B16="Missing file",D16=0),"n.a.",E16/D16)</x:f>
        <x:v>537.2942117241379</x:v>
      </x:c>
      <x:c r="K16" s="2"/>
      <x:c r="L16" s="2"/>
      <x:c r="M16" s="2"/>
    </x:row>
    <x:row r="17" ht="24" customHeight="1">
      <x:c r="A17" s="19" t="d">
        <x:v>2015-12-01T12:00:00.000Z</x:v>
      </x:c>
      <x:c r="B17" s="20" t="str">
        <x:v>Imported</x:v>
      </x:c>
      <x:c r="C17" s="9" t="n">
        <x:v>274</x:v>
      </x:c>
      <x:c r="D17" s="9" t="n">
        <x:v>139</x:v>
      </x:c>
      <x:c r="E17" s="8" t="n">
        <x:v>68167.0585</x:v>
      </x:c>
      <x:c r="F17" s="5" t="n">
        <x:f>IF(B16="Missing file","",E16)</x:f>
        <x:v>77907.6607</x:v>
      </x:c>
      <x:c r="G17" s="7" t="n">
        <x:f>IF(OR(B17="Missing file",F17="",F17=0),"n.a.",E17/F17-1)</x:f>
        <x:v>-0.12502752762027158</x:v>
      </x:c>
      <x:c r="H17" s="5" t="str">
        <x:f>""</x:f>
      </x:c>
      <x:c r="I17" s="7" t="str">
        <x:f>IF(OR(B17="Missing file",H17="",H17=0),"n.a.",E17/H17-1)</x:f>
        <x:v>n.a.</x:v>
      </x:c>
      <x:c r="J17" s="5" t="n">
        <x:f>IF(OR(B17="Missing file",D17=0),"n.a.",E17/D17)</x:f>
        <x:v>490.4104928057554</x:v>
      </x:c>
      <x:c r="K17" s="2"/>
      <x:c r="L17" s="2"/>
      <x:c r="M17" s="2"/>
    </x:row>
    <x:row r="18" ht="24" customHeight="1">
      <x:c r="A18" s="19" t="d">
        <x:v>2016-01-01T12:00:00.000Z</x:v>
      </x:c>
      <x:c r="B18" s="20" t="str">
        <x:v>Imported</x:v>
      </x:c>
      <x:c r="C18" s="9" t="n">
        <x:v>57</x:v>
      </x:c>
      <x:c r="D18" s="9" t="n">
        <x:v>29</x:v>
      </x:c>
      <x:c r="E18" s="8" t="n">
        <x:v>18066.9576</x:v>
      </x:c>
      <x:c r="F18" s="5" t="n">
        <x:f>IF(B17="Missing file","",E17)</x:f>
        <x:v>68167.0585</x:v>
      </x:c>
      <x:c r="G18" s="7" t="n">
        <x:f>IF(OR(B18="Missing file",F18="",F18=0),"n.a.",E18/F18-1)</x:f>
        <x:v>-0.7349605807033612</x:v>
      </x:c>
      <x:c r="H18" s="5" t="n">
        <x:f>IF(B6="Missing file","",E6)</x:f>
        <x:v>14205.707</x:v>
      </x:c>
      <x:c r="I18" s="7" t="n">
        <x:f>IF(OR(B18="Missing file",H18="",H18=0),"n.a.",E18/H18-1)</x:f>
        <x:v>0.2718098155903117</x:v>
      </x:c>
      <x:c r="J18" s="5" t="n">
        <x:f>IF(OR(B18="Missing file",D18=0),"n.a.",E18/D18)</x:f>
        <x:v>622.9985379310345</x:v>
      </x:c>
      <x:c r="K18" s="2"/>
      <x:c r="L18" s="2"/>
      <x:c r="M18" s="2"/>
    </x:row>
    <x:row r="19" ht="24" customHeight="1">
      <x:c r="A19" s="19" t="d">
        <x:v>2016-02-01T12:00:00.000Z</x:v>
      </x:c>
      <x:c r="B19" s="20" t="str">
        <x:v>Imported</x:v>
      </x:c>
      <x:c r="C19" s="9" t="n">
        <x:v>64</x:v>
      </x:c>
      <x:c r="D19" s="9" t="n">
        <x:v>36</x:v>
      </x:c>
      <x:c r="E19" s="8" t="n">
        <x:v>11951.411</x:v>
      </x:c>
      <x:c r="F19" s="5" t="n">
        <x:f>IF(B18="Missing file","",E18)</x:f>
        <x:v>18066.9576</x:v>
      </x:c>
      <x:c r="G19" s="7" t="n">
        <x:f>IF(OR(B19="Missing file",F19="",F19=0),"n.a.",E19/F19-1)</x:f>
        <x:v>-0.3384934384303864</x:v>
      </x:c>
      <x:c r="H19" s="5" t="n">
        <x:f>IF(B7="Missing file","",E7)</x:f>
        <x:v>4519.892</x:v>
      </x:c>
      <x:c r="I19" s="7" t="n">
        <x:f>IF(OR(B19="Missing file",H19="",H19=0),"n.a.",E19/H19-1)</x:f>
        <x:v>1.6441806574139384</x:v>
      </x:c>
      <x:c r="J19" s="5" t="n">
        <x:f>IF(OR(B19="Missing file",D19=0),"n.a.",E19/D19)</x:f>
        <x:v>331.9836388888889</x:v>
      </x:c>
      <x:c r="K19" s="2"/>
      <x:c r="L19" s="2"/>
      <x:c r="M19" s="2"/>
    </x:row>
    <x:row r="20" ht="24" customHeight="1">
      <x:c r="A20" s="19" t="d">
        <x:v>2016-03-01T12:00:00.000Z</x:v>
      </x:c>
      <x:c r="B20" s="20" t="str">
        <x:v>Imported</x:v>
      </x:c>
      <x:c r="C20" s="9" t="n">
        <x:v>128</x:v>
      </x:c>
      <x:c r="D20" s="9" t="n">
        <x:v>75</x:v>
      </x:c>
      <x:c r="E20" s="8" t="n">
        <x:v>32339.3184</x:v>
      </x:c>
      <x:c r="F20" s="5" t="n">
        <x:f>IF(B19="Missing file","",E19)</x:f>
        <x:v>11951.411</x:v>
      </x:c>
      <x:c r="G20" s="7" t="n">
        <x:f>IF(OR(B20="Missing file",F20="",F20=0),"n.a.",E20/F20-1)</x:f>
        <x:v>1.7058996130247719</x:v>
      </x:c>
      <x:c r="H20" s="5" t="n">
        <x:f>IF(B8="Missing file","",E8)</x:f>
        <x:v>55205.797</x:v>
      </x:c>
      <x:c r="I20" s="7" t="n">
        <x:f>IF(OR(B20="Missing file",H20="",H20=0),"n.a.",E20/H20-1)</x:f>
        <x:v>-0.4142043017692508</x:v>
      </x:c>
      <x:c r="J20" s="5" t="n">
        <x:f>IF(OR(B20="Missing file",D20=0),"n.a.",E20/D20)</x:f>
        <x:v>431.190912</x:v>
      </x:c>
      <x:c r="K20" s="2"/>
      <x:c r="L20" s="2"/>
      <x:c r="M20" s="2"/>
    </x:row>
    <x:row r="21" ht="24" customHeight="1">
      <x:c r="A21" s="19" t="d">
        <x:v>2016-04-01T12:00:00.000Z</x:v>
      </x:c>
      <x:c r="B21" s="20" t="str">
        <x:v>Imported</x:v>
      </x:c>
      <x:c r="C21" s="9" t="n">
        <x:v>159</x:v>
      </x:c>
      <x:c r="D21" s="9" t="n">
        <x:v>71</x:v>
      </x:c>
      <x:c r="E21" s="8" t="n">
        <x:v>34154.4685</x:v>
      </x:c>
      <x:c r="F21" s="5" t="n">
        <x:f>IF(B20="Missing file","",E20)</x:f>
        <x:v>32339.3184</x:v>
      </x:c>
      <x:c r="G21" s="7" t="n">
        <x:f>IF(OR(B21="Missing file",F21="",F21=0),"n.a.",E21/F21-1)</x:f>
        <x:v>0.05612827325389769</x:v>
      </x:c>
      <x:c r="H21" s="5" t="n">
        <x:f>IF(B9="Missing file","",E9)</x:f>
        <x:v>27906.855</x:v>
      </x:c>
      <x:c r="I21" s="7" t="n">
        <x:f>IF(OR(B21="Missing file",H21="",H21=0),"n.a.",E21/H21-1)</x:f>
        <x:v>0.22387379373275862</x:v>
      </x:c>
      <x:c r="J21" s="5" t="n">
        <x:f>IF(OR(B21="Missing file",D21=0),"n.a.",E21/D21)</x:f>
        <x:v>481.0488521126761</x:v>
      </x:c>
      <x:c r="K21" s="2"/>
      <x:c r="L21" s="2"/>
      <x:c r="M21" s="2"/>
    </x:row>
    <x:row r="22" ht="24" customHeight="1">
      <x:c r="A22" s="19" t="d">
        <x:v>2016-05-01T12:00:00.000Z</x:v>
      </x:c>
      <x:c r="B22" s="20" t="str">
        <x:v>Imported</x:v>
      </x:c>
      <x:c r="C22" s="9" t="n">
        <x:v>143</x:v>
      </x:c>
      <x:c r="D22" s="9" t="n">
        <x:v>72</x:v>
      </x:c>
      <x:c r="E22" s="8" t="n">
        <x:v>29959.5305</x:v>
      </x:c>
      <x:c r="F22" s="5" t="n">
        <x:f>IF(B21="Missing file","",E21)</x:f>
        <x:v>34154.4685</x:v>
      </x:c>
      <x:c r="G22" s="7" t="n">
        <x:f>IF(OR(B22="Missing file",F22="",F22=0),"n.a.",E22/F22-1)</x:f>
        <x:v>-0.12282252320805409</x:v>
      </x:c>
      <x:c r="H22" s="5" t="n">
        <x:f>IF(B10="Missing file","",E10)</x:f>
        <x:v>23644.303</x:v>
      </x:c>
      <x:c r="I22" s="7" t="n">
        <x:f>IF(OR(B22="Missing file",H22="",H22=0),"n.a.",E22/H22-1)</x:f>
        <x:v>0.26709298641622037</x:v>
      </x:c>
      <x:c r="J22" s="5" t="n">
        <x:f>IF(OR(B22="Missing file",D22=0),"n.a.",E22/D22)</x:f>
        <x:v>416.1045902777778</x:v>
      </x:c>
      <x:c r="K22" s="2"/>
      <x:c r="L22" s="2"/>
      <x:c r="M22" s="2"/>
    </x:row>
    <x:row r="23" ht="24" customHeight="1">
      <x:c r="A23" s="19" t="d">
        <x:v>2016-06-01T12:00:00.000Z</x:v>
      </x:c>
      <x:c r="B23" s="20" t="str">
        <x:v>Imported</x:v>
      </x:c>
      <x:c r="C23" s="9" t="n">
        <x:v>129</x:v>
      </x:c>
      <x:c r="D23" s="9" t="n">
        <x:v>66</x:v>
      </x:c>
      <x:c r="E23" s="8" t="n">
        <x:v>23599.374</x:v>
      </x:c>
      <x:c r="F23" s="5" t="n">
        <x:f>IF(B22="Missing file","",E22)</x:f>
        <x:v>29959.5305</x:v>
      </x:c>
      <x:c r="G23" s="7" t="n">
        <x:f>IF(OR(B23="Missing file",F23="",F23=0),"n.a.",E23/F23-1)</x:f>
        <x:v>-0.21229159448943968</x:v>
      </x:c>
      <x:c r="H23" s="5" t="n">
        <x:f>IF(B11="Missing file","",E11)</x:f>
        <x:v>34322.9356</x:v>
      </x:c>
      <x:c r="I23" s="7" t="n">
        <x:f>IF(OR(B23="Missing file",H23="",H23=0),"n.a.",E23/H23-1)</x:f>
        <x:v>-0.3124313644081189</x:v>
      </x:c>
      <x:c r="J23" s="5" t="n">
        <x:f>IF(OR(B23="Missing file",D23=0),"n.a.",E23/D23)</x:f>
        <x:v>357.56627272727275</x:v>
      </x:c>
      <x:c r="K23" s="2"/>
      <x:c r="L23" s="2"/>
      <x:c r="M23" s="2"/>
    </x:row>
    <x:row r="24" ht="24" customHeight="1">
      <x:c r="A24" s="19" t="d">
        <x:v>2016-07-01T12:00:00.000Z</x:v>
      </x:c>
      <x:c r="B24" s="20" t="str">
        <x:v>Imported</x:v>
      </x:c>
      <x:c r="C24" s="9" t="n">
        <x:v>136</x:v>
      </x:c>
      <x:c r="D24" s="9" t="n">
        <x:v>64</x:v>
      </x:c>
      <x:c r="E24" s="8" t="n">
        <x:v>28608.259</x:v>
      </x:c>
      <x:c r="F24" s="5" t="n">
        <x:f>IF(B23="Missing file","",E23)</x:f>
        <x:v>23599.374</x:v>
      </x:c>
      <x:c r="G24" s="7" t="n">
        <x:f>IF(OR(B24="Missing file",F24="",F24=0),"n.a.",E24/F24-1)</x:f>
        <x:v>0.21224651975937991</x:v>
      </x:c>
      <x:c r="H24" s="5" t="n">
        <x:f>IF(B12="Missing file","",E12)</x:f>
        <x:v>33781.543</x:v>
      </x:c>
      <x:c r="I24" s="7" t="n">
        <x:f>IF(OR(B24="Missing file",H24="",H24=0),"n.a.",E24/H24-1)</x:f>
        <x:v>-0.1531393637052043</x:v>
      </x:c>
      <x:c r="J24" s="5" t="n">
        <x:f>IF(OR(B24="Missing file",D24=0),"n.a.",E24/D24)</x:f>
        <x:v>447.004046875</x:v>
      </x:c>
      <x:c r="K24" s="2"/>
      <x:c r="L24" s="2"/>
      <x:c r="M24" s="2"/>
    </x:row>
    <x:row r="25" ht="24" customHeight="1">
      <x:c r="A25" s="19" t="d">
        <x:v>2016-08-01T12:00:00.000Z</x:v>
      </x:c>
      <x:c r="B25" s="20" t="str">
        <x:v>Imported</x:v>
      </x:c>
      <x:c r="C25" s="9" t="n">
        <x:v>158</x:v>
      </x:c>
      <x:c r="D25" s="9" t="n">
        <x:v>67</x:v>
      </x:c>
      <x:c r="E25" s="8" t="n">
        <x:v>36818.3422</x:v>
      </x:c>
      <x:c r="F25" s="5" t="n">
        <x:f>IF(B24="Missing file","",E24)</x:f>
        <x:v>28608.259</x:v>
      </x:c>
      <x:c r="G25" s="7" t="n">
        <x:f>IF(OR(B25="Missing file",F25="",F25=0),"n.a.",E25/F25-1)</x:f>
        <x:v>0.28698297229481873</x:v>
      </x:c>
      <x:c r="H25" s="5" t="n">
        <x:f>IF(B13="Missing file","",E13)</x:f>
        <x:v>27117.5365</x:v>
      </x:c>
      <x:c r="I25" s="7" t="n">
        <x:f>IF(OR(B25="Missing file",H25="",H25=0),"n.a.",E25/H25-1)</x:f>
        <x:v>0.35773182051400587</x:v>
      </x:c>
      <x:c r="J25" s="5" t="n">
        <x:f>IF(OR(B25="Missing file",D25=0),"n.a.",E25/D25)</x:f>
        <x:v>549.527495522388</x:v>
      </x:c>
      <x:c r="K25" s="2"/>
      <x:c r="L25" s="2"/>
      <x:c r="M25" s="2"/>
    </x:row>
    <x:row r="26" ht="24" customHeight="1">
      <x:c r="A26" s="19" t="d">
        <x:v>2016-09-01T12:00:00.000Z</x:v>
      </x:c>
      <x:c r="B26" s="20" t="str">
        <x:v>Imported</x:v>
      </x:c>
      <x:c r="C26" s="9" t="n">
        <x:v>285</x:v>
      </x:c>
      <x:c r="D26" s="9" t="n">
        <x:v>137</x:v>
      </x:c>
      <x:c r="E26" s="8" t="n">
        <x:v>63133.606</x:v>
      </x:c>
      <x:c r="F26" s="5" t="n">
        <x:f>IF(B25="Missing file","",E25)</x:f>
        <x:v>36818.3422</x:v>
      </x:c>
      <x:c r="G26" s="7" t="n">
        <x:f>IF(OR(B26="Missing file",F26="",F26=0),"n.a.",E26/F26-1)</x:f>
        <x:v>0.7147324465901672</x:v>
      </x:c>
      <x:c r="H26" s="5" t="n">
        <x:f>IF(B14="Missing file","",E14)</x:f>
        <x:v>81623.5268</x:v>
      </x:c>
      <x:c r="I26" s="7" t="n">
        <x:f>IF(OR(B26="Missing file",H26="",H26=0),"n.a.",E26/H26-1)</x:f>
        <x:v>-0.22652685475482304</x:v>
      </x:c>
      <x:c r="J26" s="5" t="n">
        <x:f>IF(OR(B26="Missing file",D26=0),"n.a.",E26/D26)</x:f>
        <x:v>460.82924087591243</x:v>
      </x:c>
      <x:c r="K26" s="2"/>
      <x:c r="L26" s="2"/>
      <x:c r="M26" s="2"/>
    </x:row>
    <x:row r="27" ht="24" customHeight="1">
      <x:c r="A27" s="19" t="d">
        <x:v>2016-10-01T12:00:00.000Z</x:v>
      </x:c>
      <x:c r="B27" s="20" t="str">
        <x:v>Imported</x:v>
      </x:c>
      <x:c r="C27" s="9" t="n">
        <x:v>164</x:v>
      </x:c>
      <x:c r="D27" s="9" t="n">
        <x:v>86</x:v>
      </x:c>
      <x:c r="E27" s="8" t="n">
        <x:v>31011.7375</x:v>
      </x:c>
      <x:c r="F27" s="5" t="n">
        <x:f>IF(B26="Missing file","",E26)</x:f>
        <x:v>63133.606</x:v>
      </x:c>
      <x:c r="G27" s="7" t="n">
        <x:f>IF(OR(B27="Missing file",F27="",F27=0),"n.a.",E27/F27-1)</x:f>
        <x:v>-0.508791918205971</x:v>
      </x:c>
      <x:c r="H27" s="5" t="n">
        <x:f>IF(B15="Missing file","",E15)</x:f>
        <x:v>31453.393</x:v>
      </x:c>
      <x:c r="I27" s="7" t="n">
        <x:f>IF(OR(B27="Missing file",H27="",H27=0),"n.a.",E27/H27-1)</x:f>
        <x:v>-0.014041585275076707</x:v>
      </x:c>
      <x:c r="J27" s="5" t="n">
        <x:f>IF(OR(B27="Missing file",D27=0),"n.a.",E27/D27)</x:f>
        <x:v>360.6015988372093</x:v>
      </x:c>
      <x:c r="K27" s="2"/>
      <x:c r="L27" s="2"/>
      <x:c r="M27" s="2"/>
    </x:row>
    <x:row r="28" ht="24" customHeight="1">
      <x:c r="A28" s="19" t="d">
        <x:v>2016-11-01T12:00:00.000Z</x:v>
      </x:c>
      <x:c r="B28" s="20" t="str">
        <x:v>Imported</x:v>
      </x:c>
      <x:c r="C28" s="9" t="n">
        <x:v>321</x:v>
      </x:c>
      <x:c r="D28" s="9" t="n">
        <x:v>157</x:v>
      </x:c>
      <x:c r="E28" s="8" t="n">
        <x:v>75249.3995</x:v>
      </x:c>
      <x:c r="F28" s="5" t="n">
        <x:f>IF(B27="Missing file","",E27)</x:f>
        <x:v>31011.7375</x:v>
      </x:c>
      <x:c r="G28" s="7" t="n">
        <x:f>IF(OR(B28="Missing file",F28="",F28=0),"n.a.",E28/F28-1)</x:f>
        <x:v>1.4264812476243875</x:v>
      </x:c>
      <x:c r="H28" s="5" t="n">
        <x:f>IF(B16="Missing file","",E16)</x:f>
        <x:v>77907.6607</x:v>
      </x:c>
      <x:c r="I28" s="7" t="n">
        <x:f>IF(OR(B28="Missing file",H28="",H28=0),"n.a.",E28/H28-1)</x:f>
        <x:v>-0.034120665106814</x:v>
      </x:c>
      <x:c r="J28" s="5" t="n">
        <x:f>IF(OR(B28="Missing file",D28=0),"n.a.",E28/D28)</x:f>
        <x:v>479.2955382165605</x:v>
      </x:c>
      <x:c r="K28" s="2"/>
      <x:c r="L28" s="2"/>
      <x:c r="M28" s="2"/>
    </x:row>
    <x:row r="29" ht="24" customHeight="1">
      <x:c r="A29" s="19" t="d">
        <x:v>2016-12-01T12:00:00.000Z</x:v>
      </x:c>
      <x:c r="B29" s="20" t="str">
        <x:v>Imported</x:v>
      </x:c>
      <x:c r="C29" s="9" t="n">
        <x:v>311</x:v>
      </x:c>
      <x:c r="D29" s="9" t="n">
        <x:v>159</x:v>
      </x:c>
      <x:c r="E29" s="8" t="n">
        <x:v>74543.6012</x:v>
      </x:c>
      <x:c r="F29" s="5" t="n">
        <x:f>IF(B28="Missing file","",E28)</x:f>
        <x:v>75249.3995</x:v>
      </x:c>
      <x:c r="G29" s="7" t="n">
        <x:f>IF(OR(B29="Missing file",F29="",F29=0),"n.a.",E29/F29-1)</x:f>
        <x:v>-0.009379454250661445</x:v>
      </x:c>
      <x:c r="H29" s="5" t="n">
        <x:f>IF(B17="Missing file","",E17)</x:f>
        <x:v>68167.0585</x:v>
      </x:c>
      <x:c r="I29" s="7" t="n">
        <x:f>IF(OR(B29="Missing file",H29="",H29=0),"n.a.",E29/H29-1)</x:f>
        <x:v>0.09354287599192812</x:v>
      </x:c>
      <x:c r="J29" s="5" t="n">
        <x:f>IF(OR(B29="Missing file",D29=0),"n.a.",E29/D29)</x:f>
        <x:v>468.8276805031447</x:v>
      </x:c>
      <x:c r="K29" s="2"/>
      <x:c r="L29" s="2"/>
      <x:c r="M29" s="2"/>
    </x:row>
    <x:row r="30" ht="24" customHeight="1">
      <x:c r="A30" s="19" t="d">
        <x:v>2017-01-01T12:00:00.000Z</x:v>
      </x:c>
      <x:c r="B30" s="20" t="str">
        <x:v>Imported</x:v>
      </x:c>
      <x:c r="C30" s="9" t="n">
        <x:v>89</x:v>
      </x:c>
      <x:c r="D30" s="9" t="n">
        <x:v>48</x:v>
      </x:c>
      <x:c r="E30" s="8" t="n">
        <x:v>18542.491</x:v>
      </x:c>
      <x:c r="F30" s="5" t="n">
        <x:f>IF(B29="Missing file","",E29)</x:f>
        <x:v>74543.6012</x:v>
      </x:c>
      <x:c r="G30" s="7" t="n">
        <x:f>IF(OR(B30="Missing file",F30="",F30=0),"n.a.",E30/F30-1)</x:f>
        <x:v>-0.7512530827394478</x:v>
      </x:c>
      <x:c r="H30" s="5" t="n">
        <x:f>IF(B18="Missing file","",E18)</x:f>
        <x:v>18066.9576</x:v>
      </x:c>
      <x:c r="I30" s="7" t="n">
        <x:f>IF(OR(B30="Missing file",H30="",H30=0),"n.a.",E30/H30-1)</x:f>
        <x:v>0.02632061305108735</x:v>
      </x:c>
      <x:c r="J30" s="5" t="n">
        <x:f>IF(OR(B30="Missing file",D30=0),"n.a.",E30/D30)</x:f>
        <x:v>386.3018958333334</x:v>
      </x:c>
      <x:c r="K30" s="2"/>
      <x:c r="L30" s="2"/>
      <x:c r="M30" s="2"/>
    </x:row>
    <x:row r="31" ht="24" customHeight="1">
      <x:c r="A31" s="19" t="d">
        <x:v>2017-02-01T12:00:00.000Z</x:v>
      </x:c>
      <x:c r="B31" s="20" t="str">
        <x:v>Imported</x:v>
      </x:c>
      <x:c r="C31" s="9" t="n">
        <x:v>83</x:v>
      </x:c>
      <x:c r="D31" s="9" t="n">
        <x:v>45</x:v>
      </x:c>
      <x:c r="E31" s="8" t="n">
        <x:v>22978.815</x:v>
      </x:c>
      <x:c r="F31" s="5" t="n">
        <x:f>IF(B30="Missing file","",E30)</x:f>
        <x:v>18542.491</x:v>
      </x:c>
      <x:c r="G31" s="7" t="n">
        <x:f>IF(OR(B31="Missing file",F31="",F31=0),"n.a.",E31/F31-1)</x:f>
        <x:v>0.23925178121968593</x:v>
      </x:c>
      <x:c r="H31" s="5" t="n">
        <x:f>IF(B19="Missing file","",E19)</x:f>
        <x:v>11951.411</x:v>
      </x:c>
      <x:c r="I31" s="7" t="n">
        <x:f>IF(OR(B31="Missing file",H31="",H31=0),"n.a.",E31/H31-1)</x:f>
        <x:v>0.9226863673251635</x:v>
      </x:c>
      <x:c r="J31" s="5" t="n">
        <x:f>IF(OR(B31="Missing file",D31=0),"n.a.",E31/D31)</x:f>
        <x:v>510.64033333333333</x:v>
      </x:c>
      <x:c r="K31" s="2"/>
      <x:c r="L31" s="2"/>
      <x:c r="M31" s="2"/>
    </x:row>
    <x:row r="32" ht="24" customHeight="1">
      <x:c r="A32" s="19" t="d">
        <x:v>2017-03-01T12:00:00.000Z</x:v>
      </x:c>
      <x:c r="B32" s="20" t="str">
        <x:v>Imported</x:v>
      </x:c>
      <x:c r="C32" s="9" t="n">
        <x:v>161</x:v>
      </x:c>
      <x:c r="D32" s="9" t="n">
        <x:v>85</x:v>
      </x:c>
      <x:c r="E32" s="8" t="n">
        <x:v>51165.059</x:v>
      </x:c>
      <x:c r="F32" s="5" t="n">
        <x:f>IF(B31="Missing file","",E31)</x:f>
        <x:v>22978.815</x:v>
      </x:c>
      <x:c r="G32" s="7" t="n">
        <x:f>IF(OR(B32="Missing file",F32="",F32=0),"n.a.",E32/F32-1)</x:f>
        <x:v>1.2266186920430844</x:v>
      </x:c>
      <x:c r="H32" s="5" t="n">
        <x:f>IF(B20="Missing file","",E20)</x:f>
        <x:v>32339.3184</x:v>
      </x:c>
      <x:c r="I32" s="7" t="n">
        <x:f>IF(OR(B32="Missing file",H32="",H32=0),"n.a.",E32/H32-1)</x:f>
        <x:v>0.5821316444319371</x:v>
      </x:c>
      <x:c r="J32" s="5" t="n">
        <x:f>IF(OR(B32="Missing file",D32=0),"n.a.",E32/D32)</x:f>
        <x:v>601.9418705882354</x:v>
      </x:c>
      <x:c r="K32" s="2"/>
      <x:c r="L32" s="2"/>
      <x:c r="M32" s="2"/>
    </x:row>
    <x:row r="33" ht="24" customHeight="1">
      <x:c r="A33" s="19" t="d">
        <x:v>2017-04-01T12:00:00.000Z</x:v>
      </x:c>
      <x:c r="B33" s="20" t="str">
        <x:v>Imported</x:v>
      </x:c>
      <x:c r="C33" s="9" t="n">
        <x:v>168</x:v>
      </x:c>
      <x:c r="D33" s="9" t="n">
        <x:v>88</x:v>
      </x:c>
      <x:c r="E33" s="8" t="n">
        <x:v>38679.767</x:v>
      </x:c>
      <x:c r="F33" s="5" t="n">
        <x:f>IF(B32="Missing file","",E32)</x:f>
        <x:v>51165.059</x:v>
      </x:c>
      <x:c r="G33" s="7" t="n">
        <x:f>IF(OR(B33="Missing file",F33="",F33=0),"n.a.",E33/F33-1)</x:f>
        <x:v>-0.2440198886509639</x:v>
      </x:c>
      <x:c r="H33" s="5" t="n">
        <x:f>IF(B21="Missing file","",E21)</x:f>
        <x:v>34154.4685</x:v>
      </x:c>
      <x:c r="I33" s="7" t="n">
        <x:f>IF(OR(B33="Missing file",H33="",H33=0),"n.a.",E33/H33-1)</x:f>
        <x:v>0.13249506429883384</x:v>
      </x:c>
      <x:c r="J33" s="5" t="n">
        <x:f>IF(OR(B33="Missing file",D33=0),"n.a.",E33/D33)</x:f>
        <x:v>439.5428068181818</x:v>
      </x:c>
      <x:c r="K33" s="2"/>
      <x:c r="L33" s="2"/>
      <x:c r="M33" s="2"/>
    </x:row>
    <x:row r="34" ht="24" customHeight="1">
      <x:c r="A34" s="19" t="d">
        <x:v>2017-05-01T12:00:00.000Z</x:v>
      </x:c>
      <x:c r="B34" s="20" t="str">
        <x:v>Imported</x:v>
      </x:c>
      <x:c r="C34" s="9" t="n">
        <x:v>221</x:v>
      </x:c>
      <x:c r="D34" s="9" t="n">
        <x:v>107</x:v>
      </x:c>
      <x:c r="E34" s="8" t="n">
        <x:v>56656.908</x:v>
      </x:c>
      <x:c r="F34" s="5" t="n">
        <x:f>IF(B33="Missing file","",E33)</x:f>
        <x:v>38679.767</x:v>
      </x:c>
      <x:c r="G34" s="7" t="n">
        <x:f>IF(OR(B34="Missing file",F34="",F34=0),"n.a.",E34/F34-1)</x:f>
        <x:v>0.46476859594319686</x:v>
      </x:c>
      <x:c r="H34" s="5" t="n">
        <x:f>IF(B22="Missing file","",E22)</x:f>
        <x:v>29959.5305</x:v>
      </x:c>
      <x:c r="I34" s="7" t="n">
        <x:f>IF(OR(B34="Missing file",H34="",H34=0),"n.a.",E34/H34-1)</x:f>
        <x:v>0.8911146821876932</x:v>
      </x:c>
      <x:c r="J34" s="5" t="n">
        <x:f>IF(OR(B34="Missing file",D34=0),"n.a.",E34/D34)</x:f>
        <x:v>529.5038130841122</x:v>
      </x:c>
      <x:c r="K34" s="2"/>
      <x:c r="L34" s="2"/>
      <x:c r="M34" s="2"/>
    </x:row>
    <x:row r="35" ht="24" customHeight="1">
      <x:c r="A35" s="19" t="d">
        <x:v>2017-06-01T12:00:00.000Z</x:v>
      </x:c>
      <x:c r="B35" s="20" t="str">
        <x:v>Imported</x:v>
      </x:c>
      <x:c r="C35" s="9" t="n">
        <x:v>196</x:v>
      </x:c>
      <x:c r="D35" s="9" t="n">
        <x:v>95</x:v>
      </x:c>
      <x:c r="E35" s="8" t="n">
        <x:v>39724.486</x:v>
      </x:c>
      <x:c r="F35" s="5" t="n">
        <x:f>IF(B34="Missing file","",E34)</x:f>
        <x:v>56656.908</x:v>
      </x:c>
      <x:c r="G35" s="7" t="n">
        <x:f>IF(OR(B35="Missing file",F35="",F35=0),"n.a.",E35/F35-1)</x:f>
        <x:v>-0.29885891407981535</x:v>
      </x:c>
      <x:c r="H35" s="5" t="n">
        <x:f>IF(B23="Missing file","",E23)</x:f>
        <x:v>23599.374</x:v>
      </x:c>
      <x:c r="I35" s="7" t="n">
        <x:f>IF(OR(B35="Missing file",H35="",H35=0),"n.a.",E35/H35-1)</x:f>
        <x:v>0.6832855820667108</x:v>
      </x:c>
      <x:c r="J35" s="5" t="n">
        <x:f>IF(OR(B35="Missing file",D35=0),"n.a.",E35/D35)</x:f>
        <x:v>418.15248421052627</x:v>
      </x:c>
      <x:c r="K35" s="2"/>
      <x:c r="L35" s="2"/>
      <x:c r="M35" s="2"/>
    </x:row>
    <x:row r="36" ht="24" customHeight="1">
      <x:c r="A36" s="19" t="d">
        <x:v>2017-07-01T12:00:00.000Z</x:v>
      </x:c>
      <x:c r="B36" s="20" t="str">
        <x:v>Imported</x:v>
      </x:c>
      <x:c r="C36" s="9" t="n">
        <x:v>196</x:v>
      </x:c>
      <x:c r="D36" s="9" t="n">
        <x:v>95</x:v>
      </x:c>
      <x:c r="E36" s="8" t="n">
        <x:v>38320.783</x:v>
      </x:c>
      <x:c r="F36" s="5" t="n">
        <x:f>IF(B35="Missing file","",E35)</x:f>
        <x:v>39724.486</x:v>
      </x:c>
      <x:c r="G36" s="7" t="n">
        <x:f>IF(OR(B36="Missing file",F36="",F36=0),"n.a.",E36/F36-1)</x:f>
        <x:v>-0.03533596381838633</x:v>
      </x:c>
      <x:c r="H36" s="5" t="n">
        <x:f>IF(B24="Missing file","",E24)</x:f>
        <x:v>28608.259</x:v>
      </x:c>
      <x:c r="I36" s="7" t="n">
        <x:f>IF(OR(B36="Missing file",H36="",H36=0),"n.a.",E36/H36-1)</x:f>
        <x:v>0.3395007015281848</x:v>
      </x:c>
      <x:c r="J36" s="5" t="n">
        <x:f>IF(OR(B36="Missing file",D36=0),"n.a.",E36/D36)</x:f>
        <x:v>403.37666315789477</x:v>
      </x:c>
      <x:c r="K36" s="2"/>
      <x:c r="L36" s="2"/>
      <x:c r="M36" s="2"/>
    </x:row>
    <x:row r="37" ht="24" customHeight="1">
      <x:c r="A37" s="19" t="d">
        <x:v>2017-08-01T12:00:00.000Z</x:v>
      </x:c>
      <x:c r="B37" s="20" t="str">
        <x:v>Imported</x:v>
      </x:c>
      <x:c r="C37" s="9" t="n">
        <x:v>175</x:v>
      </x:c>
      <x:c r="D37" s="9" t="n">
        <x:v>89</x:v>
      </x:c>
      <x:c r="E37" s="8" t="n">
        <x:v>30542.2003</x:v>
      </x:c>
      <x:c r="F37" s="5" t="n">
        <x:f>IF(B36="Missing file","",E36)</x:f>
        <x:v>38320.783</x:v>
      </x:c>
      <x:c r="G37" s="7" t="n">
        <x:f>IF(OR(B37="Missing file",F37="",F37=0),"n.a.",E37/F37-1)</x:f>
        <x:v>-0.20298600631411945</x:v>
      </x:c>
      <x:c r="H37" s="5" t="n">
        <x:f>IF(B25="Missing file","",E25)</x:f>
        <x:v>36818.3422</x:v>
      </x:c>
      <x:c r="I37" s="7" t="n">
        <x:f>IF(OR(B37="Missing file",H37="",H37=0),"n.a.",E37/H37-1)</x:f>
        <x:v>-0.17046237079082827</x:v>
      </x:c>
      <x:c r="J37" s="5" t="n">
        <x:f>IF(OR(B37="Missing file",D37=0),"n.a.",E37/D37)</x:f>
        <x:v>343.17078988764047</x:v>
      </x:c>
      <x:c r="K37" s="2"/>
      <x:c r="L37" s="2"/>
      <x:c r="M37" s="2"/>
    </x:row>
    <x:row r="38" ht="24" customHeight="1">
      <x:c r="A38" s="19" t="d">
        <x:v>2017-09-01T12:00:00.000Z</x:v>
      </x:c>
      <x:c r="B38" s="20" t="str">
        <x:v>Imported</x:v>
      </x:c>
      <x:c r="C38" s="9" t="n">
        <x:v>349</x:v>
      </x:c>
      <x:c r="D38" s="9" t="n">
        <x:v>186</x:v>
      </x:c>
      <x:c r="E38" s="8" t="n">
        <x:v>69193.3909</x:v>
      </x:c>
      <x:c r="F38" s="5" t="n">
        <x:f>IF(B37="Missing file","",E37)</x:f>
        <x:v>30542.2003</x:v>
      </x:c>
      <x:c r="G38" s="7" t="n">
        <x:f>IF(OR(B38="Missing file",F38="",F38=0),"n.a.",E38/F38-1)</x:f>
        <x:v>1.265501182637454</x:v>
      </x:c>
      <x:c r="H38" s="5" t="n">
        <x:f>IF(B26="Missing file","",E26)</x:f>
        <x:v>63133.606</x:v>
      </x:c>
      <x:c r="I38" s="7" t="n">
        <x:f>IF(OR(B38="Missing file",H38="",H38=0),"n.a.",E38/H38-1)</x:f>
        <x:v>0.09598350678717771</x:v>
      </x:c>
      <x:c r="J38" s="5" t="n">
        <x:f>IF(OR(B38="Missing file",D38=0),"n.a.",E38/D38)</x:f>
        <x:v>372.00747795698925</x:v>
      </x:c>
      <x:c r="K38" s="2"/>
      <x:c r="L38" s="2"/>
      <x:c r="M38" s="2"/>
    </x:row>
    <x:row r="39" ht="24" customHeight="1">
      <x:c r="A39" s="19" t="d">
        <x:v>2017-10-01T12:00:00.000Z</x:v>
      </x:c>
      <x:c r="B39" s="20" t="str">
        <x:v>Imported</x:v>
      </x:c>
      <x:c r="C39" s="9" t="n">
        <x:v>192</x:v>
      </x:c>
      <x:c r="D39" s="9" t="n">
        <x:v>103</x:v>
      </x:c>
      <x:c r="E39" s="8" t="n">
        <x:v>59583.033</x:v>
      </x:c>
      <x:c r="F39" s="5" t="n">
        <x:f>IF(B38="Missing file","",E38)</x:f>
        <x:v>69193.3909</x:v>
      </x:c>
      <x:c r="G39" s="7" t="n">
        <x:f>IF(OR(B39="Missing file",F39="",F39=0),"n.a.",E39/F39-1)</x:f>
        <x:v>-0.1388912694550426</x:v>
      </x:c>
      <x:c r="H39" s="5" t="n">
        <x:f>IF(B27="Missing file","",E27)</x:f>
        <x:v>31011.7375</x:v>
      </x:c>
      <x:c r="I39" s="7" t="n">
        <x:f>IF(OR(B39="Missing file",H39="",H39=0),"n.a.",E39/H39-1)</x:f>
        <x:v>0.9213058604020494</x:v>
      </x:c>
      <x:c r="J39" s="5" t="n">
        <x:f>IF(OR(B39="Missing file",D39=0),"n.a.",E39/D39)</x:f>
        <x:v>578.4760485436893</x:v>
      </x:c>
      <x:c r="K39" s="2"/>
      <x:c r="L39" s="2"/>
      <x:c r="M39" s="2"/>
    </x:row>
    <x:row r="40" ht="24" customHeight="1">
      <x:c r="A40" s="19" t="d">
        <x:v>2017-11-01T12:00:00.000Z</x:v>
      </x:c>
      <x:c r="B40" s="20" t="str">
        <x:v>Imported</x:v>
      </x:c>
      <x:c r="C40" s="9" t="n">
        <x:v>366</x:v>
      </x:c>
      <x:c r="D40" s="9" t="n">
        <x:v>182</x:v>
      </x:c>
      <x:c r="E40" s="8" t="n">
        <x:v>79066.4958</x:v>
      </x:c>
      <x:c r="F40" s="5" t="n">
        <x:f>IF(B39="Missing file","",E39)</x:f>
        <x:v>59583.033</x:v>
      </x:c>
      <x:c r="G40" s="7" t="n">
        <x:f>IF(OR(B40="Missing file",F40="",F40=0),"n.a.",E40/F40-1)</x:f>
        <x:v>0.32699682810708874</x:v>
      </x:c>
      <x:c r="H40" s="5" t="n">
        <x:f>IF(B28="Missing file","",E28)</x:f>
        <x:v>75249.3995</x:v>
      </x:c>
      <x:c r="I40" s="7" t="n">
        <x:f>IF(OR(B40="Missing file",H40="",H40=0),"n.a.",E40/H40-1)</x:f>
        <x:v>0.05072593702226169</x:v>
      </x:c>
      <x:c r="J40" s="5" t="n">
        <x:f>IF(OR(B40="Missing file",D40=0),"n.a.",E40/D40)</x:f>
        <x:v>434.43129560439564</x:v>
      </x:c>
      <x:c r="K40" s="2"/>
      <x:c r="L40" s="2"/>
      <x:c r="M40" s="2"/>
    </x:row>
    <x:row r="41" ht="24" customHeight="1">
      <x:c r="A41" s="19" t="d">
        <x:v>2017-12-01T12:00:00.000Z</x:v>
      </x:c>
      <x:c r="B41" s="20" t="str">
        <x:v>Imported</x:v>
      </x:c>
      <x:c r="C41" s="9" t="n">
        <x:v>338</x:v>
      </x:c>
      <x:c r="D41" s="9" t="n">
        <x:v>172</x:v>
      </x:c>
      <x:c r="E41" s="8" t="n">
        <x:v>95739.121</x:v>
      </x:c>
      <x:c r="F41" s="5" t="n">
        <x:f>IF(B40="Missing file","",E40)</x:f>
        <x:v>79066.4958</x:v>
      </x:c>
      <x:c r="G41" s="7" t="n">
        <x:f>IF(OR(B41="Missing file",F41="",F41=0),"n.a.",E41/F41-1)</x:f>
        <x:v>0.2108683966742837</x:v>
      </x:c>
      <x:c r="H41" s="5" t="n">
        <x:f>IF(B29="Missing file","",E29)</x:f>
        <x:v>74543.6012</x:v>
      </x:c>
      <x:c r="I41" s="7" t="n">
        <x:f>IF(OR(B41="Missing file",H41="",H41=0),"n.a.",E41/H41-1)</x:f>
        <x:v>0.28433721283645186</x:v>
      </x:c>
      <x:c r="J41" s="5" t="n">
        <x:f>IF(OR(B41="Missing file",D41=0),"n.a.",E41/D41)</x:f>
        <x:v>556.6227965116279</x:v>
      </x:c>
      <x:c r="K41" s="2"/>
      <x:c r="L41" s="2"/>
      <x:c r="M41" s="2"/>
    </x:row>
    <x:row r="42" ht="24" customHeight="1">
      <x:c r="A42" s="19" t="d">
        <x:v>2018-01-01T12:00:00.000Z</x:v>
      </x:c>
      <x:c r="B42" s="20" t="str">
        <x:v>Imported</x:v>
      </x:c>
      <x:c r="C42" s="9" t="n">
        <x:v>143</x:v>
      </x:c>
      <x:c r="D42" s="9" t="n">
        <x:v>67</x:v>
      </x:c>
      <x:c r="E42" s="8" t="n">
        <x:v>43476.474</x:v>
      </x:c>
      <x:c r="F42" s="5" t="n">
        <x:f>IF(B41="Missing file","",E41)</x:f>
        <x:v>95739.121</x:v>
      </x:c>
      <x:c r="G42" s="7" t="n">
        <x:f>IF(OR(B42="Missing file",F42="",F42=0),"n.a.",E42/F42-1)</x:f>
        <x:v>-0.5458860124692392</x:v>
      </x:c>
      <x:c r="H42" s="5" t="n">
        <x:f>IF(B30="Missing file","",E30)</x:f>
        <x:v>18542.491</x:v>
      </x:c>
      <x:c r="I42" s="7" t="n">
        <x:f>IF(OR(B42="Missing file",H42="",H42=0),"n.a.",E42/H42-1)</x:f>
        <x:v>1.3446943563300096</x:v>
      </x:c>
      <x:c r="J42" s="5" t="n">
        <x:f>IF(OR(B42="Missing file",D42=0),"n.a.",E42/D42)</x:f>
        <x:v>648.9025970149254</x:v>
      </x:c>
      <x:c r="K42" s="2"/>
      <x:c r="L42" s="2"/>
      <x:c r="M42" s="2"/>
    </x:row>
    <x:row r="43" ht="24" customHeight="1">
      <x:c r="A43" s="19" t="d">
        <x:v>2018-02-01T12:00:00.000Z</x:v>
      </x:c>
      <x:c r="B43" s="20" t="str">
        <x:v>Imported</x:v>
      </x:c>
      <x:c r="C43" s="9" t="n">
        <x:v>104</x:v>
      </x:c>
      <x:c r="D43" s="9" t="n">
        <x:v>52</x:v>
      </x:c>
      <x:c r="E43" s="8" t="n">
        <x:v>19920.9974</x:v>
      </x:c>
      <x:c r="F43" s="5" t="n">
        <x:f>IF(B42="Missing file","",E42)</x:f>
        <x:v>43476.474</x:v>
      </x:c>
      <x:c r="G43" s="7" t="n">
        <x:f>IF(OR(B43="Missing file",F43="",F43=0),"n.a.",E43/F43-1)</x:f>
        <x:v>-0.5417982286236</x:v>
      </x:c>
      <x:c r="H43" s="5" t="n">
        <x:f>IF(B31="Missing file","",E31)</x:f>
        <x:v>22978.815</x:v>
      </x:c>
      <x:c r="I43" s="7" t="n">
        <x:f>IF(OR(B43="Missing file",H43="",H43=0),"n.a.",E43/H43-1)</x:f>
        <x:v>-0.13307116141541675</x:v>
      </x:c>
      <x:c r="J43" s="5" t="n">
        <x:f>IF(OR(B43="Missing file",D43=0),"n.a.",E43/D43)</x:f>
        <x:v>383.0961038461538</x:v>
      </x:c>
      <x:c r="K43" s="2"/>
      <x:c r="L43" s="2"/>
      <x:c r="M43" s="2"/>
    </x:row>
    <x:row r="44" ht="24" customHeight="1">
      <x:c r="A44" s="19" t="d">
        <x:v>2018-03-01T12:00:00.000Z</x:v>
      </x:c>
      <x:c r="B44" s="20" t="str">
        <x:v>Imported</x:v>
      </x:c>
      <x:c r="C44" s="9" t="n">
        <x:v>237</x:v>
      </x:c>
      <x:c r="D44" s="9" t="n">
        <x:v>117</x:v>
      </x:c>
      <x:c r="E44" s="8" t="n">
        <x:v>58863.4128</x:v>
      </x:c>
      <x:c r="F44" s="5" t="n">
        <x:f>IF(B43="Missing file","",E43)</x:f>
        <x:v>19920.9974</x:v>
      </x:c>
      <x:c r="G44" s="7" t="n">
        <x:f>IF(OR(B44="Missing file",F44="",F44=0),"n.a.",E44/F44-1)</x:f>
        <x:v>1.954842652607344</x:v>
      </x:c>
      <x:c r="H44" s="5" t="n">
        <x:f>IF(B32="Missing file","",E32)</x:f>
        <x:v>51165.059</x:v>
      </x:c>
      <x:c r="I44" s="7" t="n">
        <x:f>IF(OR(B44="Missing file",H44="",H44=0),"n.a.",E44/H44-1)</x:f>
        <x:v>0.15046115357748335</x:v>
      </x:c>
      <x:c r="J44" s="5" t="n">
        <x:f>IF(OR(B44="Missing file",D44=0),"n.a.",E44/D44)</x:f>
        <x:v>503.1060923076923</x:v>
      </x:c>
      <x:c r="K44" s="2"/>
      <x:c r="L44" s="2"/>
      <x:c r="M44" s="2"/>
    </x:row>
    <x:row r="45" ht="24" customHeight="1">
      <x:c r="A45" s="19" t="d">
        <x:v>2018-04-01T12:00:00.000Z</x:v>
      </x:c>
      <x:c r="B45" s="20" t="str">
        <x:v>Imported</x:v>
      </x:c>
      <x:c r="C45" s="9" t="n">
        <x:v>200</x:v>
      </x:c>
      <x:c r="D45" s="9" t="n">
        <x:v>115</x:v>
      </x:c>
      <x:c r="E45" s="8" t="n">
        <x:v>35541.9101</x:v>
      </x:c>
      <x:c r="F45" s="5" t="n">
        <x:f>IF(B44="Missing file","",E44)</x:f>
        <x:v>58863.4128</x:v>
      </x:c>
      <x:c r="G45" s="7" t="n">
        <x:f>IF(OR(B45="Missing file",F45="",F45=0),"n.a.",E45/F45-1)</x:f>
        <x:v>-0.39619691741692553</x:v>
      </x:c>
      <x:c r="H45" s="5" t="n">
        <x:f>IF(B33="Missing file","",E33)</x:f>
        <x:v>38679.767</x:v>
      </x:c>
      <x:c r="I45" s="7" t="n">
        <x:f>IF(OR(B45="Missing file",H45="",H45=0),"n.a.",E45/H45-1)</x:f>
        <x:v>-0.08112398660519338</x:v>
      </x:c>
      <x:c r="J45" s="5" t="n">
        <x:f>IF(OR(B45="Missing file",D45=0),"n.a.",E45/D45)</x:f>
        <x:v>309.06008782608694</x:v>
      </x:c>
      <x:c r="K45" s="2"/>
      <x:c r="L45" s="2"/>
      <x:c r="M45" s="2"/>
    </x:row>
    <x:row r="46" ht="24" customHeight="1">
      <x:c r="A46" s="19" t="d">
        <x:v>2018-05-01T12:00:00.000Z</x:v>
      </x:c>
      <x:c r="B46" s="20" t="str">
        <x:v>Imported</x:v>
      </x:c>
      <x:c r="C46" s="9" t="n">
        <x:v>240</x:v>
      </x:c>
      <x:c r="D46" s="9" t="n">
        <x:v>116</x:v>
      </x:c>
      <x:c r="E46" s="8" t="n">
        <x:v>43825.9822</x:v>
      </x:c>
      <x:c r="F46" s="5" t="n">
        <x:f>IF(B45="Missing file","",E45)</x:f>
        <x:v>35541.9101</x:v>
      </x:c>
      <x:c r="G46" s="7" t="n">
        <x:f>IF(OR(B46="Missing file",F46="",F46=0),"n.a.",E46/F46-1)</x:f>
        <x:v>0.2330789784986822</x:v>
      </x:c>
      <x:c r="H46" s="5" t="n">
        <x:f>IF(B34="Missing file","",E34)</x:f>
        <x:v>56656.908</x:v>
      </x:c>
      <x:c r="I46" s="7" t="n">
        <x:f>IF(OR(B46="Missing file",H46="",H46=0),"n.a.",E46/H46-1)</x:f>
        <x:v>-0.22646710265233683</x:v>
      </x:c>
      <x:c r="J46" s="5" t="n">
        <x:f>IF(OR(B46="Missing file",D46=0),"n.a.",E46/D46)</x:f>
        <x:v>377.8101913793103</x:v>
      </x:c>
      <x:c r="K46" s="2"/>
      <x:c r="L46" s="2"/>
      <x:c r="M46" s="2"/>
    </x:row>
    <x:row r="47" ht="24" customHeight="1">
      <x:c r="A47" s="19" t="d">
        <x:v>2018-06-01T12:00:00.000Z</x:v>
      </x:c>
      <x:c r="B47" s="20" t="str">
        <x:v>Imported</x:v>
      </x:c>
      <x:c r="C47" s="9" t="n">
        <x:v>235</x:v>
      </x:c>
      <x:c r="D47" s="9" t="n">
        <x:v>129</x:v>
      </x:c>
      <x:c r="E47" s="8" t="n">
        <x:v>48190.7277</x:v>
      </x:c>
      <x:c r="F47" s="5" t="n">
        <x:f>IF(B46="Missing file","",E46)</x:f>
        <x:v>43825.9822</x:v>
      </x:c>
      <x:c r="G47" s="7" t="n">
        <x:f>IF(OR(B47="Missing file",F47="",F47=0),"n.a.",E47/F47-1)</x:f>
        <x:v>0.09959264529615042</x:v>
      </x:c>
      <x:c r="H47" s="5" t="n">
        <x:f>IF(B35="Missing file","",E35)</x:f>
        <x:v>39724.486</x:v>
      </x:c>
      <x:c r="I47" s="7" t="n">
        <x:f>IF(OR(B47="Missing file",H47="",H47=0),"n.a.",E47/H47-1)</x:f>
        <x:v>0.21312400870334747</x:v>
      </x:c>
      <x:c r="J47" s="5" t="n">
        <x:f>IF(OR(B47="Missing file",D47=0),"n.a.",E47/D47)</x:f>
        <x:v>373.57153255813955</x:v>
      </x:c>
      <x:c r="K47" s="2"/>
      <x:c r="L47" s="2"/>
      <x:c r="M47" s="2"/>
    </x:row>
    <x:row r="48" ht="24" customHeight="1">
      <x:c r="A48" s="19" t="d">
        <x:v>2018-07-01T12:00:00.000Z</x:v>
      </x:c>
      <x:c r="B48" s="20" t="str">
        <x:v>Imported</x:v>
      </x:c>
      <x:c r="C48" s="9" t="n">
        <x:v>223</x:v>
      </x:c>
      <x:c r="D48" s="9" t="n">
        <x:v>108</x:v>
      </x:c>
      <x:c r="E48" s="8" t="n">
        <x:v>44825.104</x:v>
      </x:c>
      <x:c r="F48" s="5" t="n">
        <x:f>IF(B47="Missing file","",E47)</x:f>
        <x:v>48190.7277</x:v>
      </x:c>
      <x:c r="G48" s="7" t="n">
        <x:f>IF(OR(B48="Missing file",F48="",F48=0),"n.a.",E48/F48-1)</x:f>
        <x:v>-0.0698396529920009</x:v>
      </x:c>
      <x:c r="H48" s="5" t="n">
        <x:f>IF(B36="Missing file","",E36)</x:f>
        <x:v>38320.783</x:v>
      </x:c>
      <x:c r="I48" s="7" t="n">
        <x:f>IF(OR(B48="Missing file",H48="",H48=0),"n.a.",E48/H48-1)</x:f>
        <x:v>0.16973350988157</x:v>
      </x:c>
      <x:c r="J48" s="5" t="n">
        <x:f>IF(OR(B48="Missing file",D48=0),"n.a.",E48/D48)</x:f>
        <x:v>415.04725925925925</x:v>
      </x:c>
      <x:c r="K48" s="2"/>
      <x:c r="L48" s="2"/>
      <x:c r="M48" s="2"/>
    </x:row>
    <x:row r="49" ht="24" customHeight="1">
      <x:c r="A49" s="19" t="d">
        <x:v>2018-08-01T12:00:00.000Z</x:v>
      </x:c>
      <x:c r="B49" s="20" t="str">
        <x:v>Imported</x:v>
      </x:c>
      <x:c r="C49" s="9" t="n">
        <x:v>214</x:v>
      </x:c>
      <x:c r="D49" s="9" t="n">
        <x:v>109</x:v>
      </x:c>
      <x:c r="E49" s="8" t="n">
        <x:v>62837.848</x:v>
      </x:c>
      <x:c r="F49" s="5" t="n">
        <x:f>IF(B48="Missing file","",E48)</x:f>
        <x:v>44825.104</x:v>
      </x:c>
      <x:c r="G49" s="7" t="n">
        <x:f>IF(OR(B49="Missing file",F49="",F49=0),"n.a.",E49/F49-1)</x:f>
        <x:v>0.40184500185431804</x:v>
      </x:c>
      <x:c r="H49" s="5" t="n">
        <x:f>IF(B37="Missing file","",E37)</x:f>
        <x:v>30542.2003</x:v>
      </x:c>
      <x:c r="I49" s="7" t="n">
        <x:f>IF(OR(B49="Missing file",H49="",H49=0),"n.a.",E49/H49-1)</x:f>
        <x:v>1.0574106443798024</x:v>
      </x:c>
      <x:c r="J49" s="5" t="n">
        <x:f>IF(OR(B49="Missing file",D49=0),"n.a.",E49/D49)</x:f>
        <x:v>576.4940183486239</x:v>
      </x:c>
      <x:c r="K49" s="2"/>
      <x:c r="L49" s="2"/>
      <x:c r="M49" s="2"/>
    </x:row>
    <x:row r="50" ht="24" customHeight="1">
      <x:c r="A50" s="19" t="d">
        <x:v>2018-09-01T12:00:00.000Z</x:v>
      </x:c>
      <x:c r="B50" s="20" t="str">
        <x:v>Imported</x:v>
      </x:c>
      <x:c r="C50" s="9" t="n">
        <x:v>453</x:v>
      </x:c>
      <x:c r="D50" s="9" t="n">
        <x:v>222</x:v>
      </x:c>
      <x:c r="E50" s="8" t="n">
        <x:v>86152.888</x:v>
      </x:c>
      <x:c r="F50" s="5" t="n">
        <x:f>IF(B49="Missing file","",E49)</x:f>
        <x:v>62837.848</x:v>
      </x:c>
      <x:c r="G50" s="7" t="n">
        <x:f>IF(OR(B50="Missing file",F50="",F50=0),"n.a.",E50/F50-1)</x:f>
        <x:v>0.3710349851573531</x:v>
      </x:c>
      <x:c r="H50" s="5" t="n">
        <x:f>IF(B38="Missing file","",E38)</x:f>
        <x:v>69193.3909</x:v>
      </x:c>
      <x:c r="I50" s="7" t="n">
        <x:f>IF(OR(B50="Missing file",H50="",H50=0),"n.a.",E50/H50-1)</x:f>
        <x:v>0.24510284695413032</x:v>
      </x:c>
      <x:c r="J50" s="5" t="n">
        <x:f>IF(OR(B50="Missing file",D50=0),"n.a.",E50/D50)</x:f>
        <x:v>388.0760720720721</x:v>
      </x:c>
      <x:c r="K50" s="2"/>
      <x:c r="L50" s="2"/>
      <x:c r="M50" s="2"/>
    </x:row>
    <x:row r="51" ht="24" customHeight="1">
      <x:c r="A51" s="19" t="d">
        <x:v>2018-10-01T12:00:00.000Z</x:v>
      </x:c>
      <x:c r="B51" s="20" t="str">
        <x:v>Imported</x:v>
      </x:c>
      <x:c r="C51" s="9" t="n">
        <x:v>294</x:v>
      </x:c>
      <x:c r="D51" s="9" t="n">
        <x:v>144</x:v>
      </x:c>
      <x:c r="E51" s="8" t="n">
        <x:v>77448.1312</x:v>
      </x:c>
      <x:c r="F51" s="5" t="n">
        <x:f>IF(B50="Missing file","",E50)</x:f>
        <x:v>86152.888</x:v>
      </x:c>
      <x:c r="G51" s="7" t="n">
        <x:f>IF(OR(B51="Missing file",F51="",F51=0),"n.a.",E51/F51-1)</x:f>
        <x:v>-0.10103847940651745</x:v>
      </x:c>
      <x:c r="H51" s="5" t="n">
        <x:f>IF(B39="Missing file","",E39)</x:f>
        <x:v>59583.033</x:v>
      </x:c>
      <x:c r="I51" s="7" t="n">
        <x:f>IF(OR(B51="Missing file",H51="",H51=0),"n.a.",E51/H51-1)</x:f>
        <x:v>0.2998353272818455</x:v>
      </x:c>
      <x:c r="J51" s="5" t="n">
        <x:f>IF(OR(B51="Missing file",D51=0),"n.a.",E51/D51)</x:f>
        <x:v>537.8342444444445</x:v>
      </x:c>
      <x:c r="K51" s="2"/>
      <x:c r="L51" s="2"/>
      <x:c r="M51" s="2"/>
    </x:row>
    <x:row r="52" ht="24" customHeight="1">
      <x:c r="A52" s="19" t="d">
        <x:v>2018-11-01T12:00:00.000Z</x:v>
      </x:c>
      <x:c r="B52" s="20" t="str">
        <x:v>Imported</x:v>
      </x:c>
      <x:c r="C52" s="9" t="n">
        <x:v>456</x:v>
      </x:c>
      <x:c r="D52" s="9" t="n">
        <x:v>259</x:v>
      </x:c>
      <x:c r="E52" s="8" t="n">
        <x:v>117938.155</x:v>
      </x:c>
      <x:c r="F52" s="5" t="n">
        <x:f>IF(B51="Missing file","",E51)</x:f>
        <x:v>77448.1312</x:v>
      </x:c>
      <x:c r="G52" s="7" t="n">
        <x:f>IF(OR(B52="Missing file",F52="",F52=0),"n.a.",E52/F52-1)</x:f>
        <x:v>0.5228018181024876</x:v>
      </x:c>
      <x:c r="H52" s="5" t="n">
        <x:f>IF(B40="Missing file","",E40)</x:f>
        <x:v>79066.4958</x:v>
      </x:c>
      <x:c r="I52" s="7" t="n">
        <x:f>IF(OR(B52="Missing file",H52="",H52=0),"n.a.",E52/H52-1)</x:f>
        <x:v>0.4916325025751298</x:v>
      </x:c>
      <x:c r="J52" s="5" t="n">
        <x:f>IF(OR(B52="Missing file",D52=0),"n.a.",E52/D52)</x:f>
        <x:v>455.3596718146718</x:v>
      </x:c>
      <x:c r="K52" s="2"/>
      <x:c r="L52" s="2"/>
      <x:c r="M52" s="2"/>
    </x:row>
    <x:row r="53" ht="24" customHeight="1">
      <x:c r="A53" s="19" t="d">
        <x:v>2018-12-01T12:00:00.000Z</x:v>
      </x:c>
      <x:c r="B53" s="20" t="str">
        <x:v>Imported</x:v>
      </x:c>
      <x:c r="C53" s="9" t="n">
        <x:v>459</x:v>
      </x:c>
      <x:c r="D53" s="9" t="n">
        <x:v>223</x:v>
      </x:c>
      <x:c r="E53" s="8" t="n">
        <x:v>83030.3888</x:v>
      </x:c>
      <x:c r="F53" s="5" t="n">
        <x:f>IF(B52="Missing file","",E52)</x:f>
        <x:v>117938.155</x:v>
      </x:c>
      <x:c r="G53" s="7" t="n">
        <x:f>IF(OR(B53="Missing file",F53="",F53=0),"n.a.",E53/F53-1)</x:f>
        <x:v>-0.29598365516231795</x:v>
      </x:c>
      <x:c r="H53" s="5" t="n">
        <x:f>IF(B41="Missing file","",E41)</x:f>
        <x:v>95739.121</x:v>
      </x:c>
      <x:c r="I53" s="7" t="n">
        <x:f>IF(OR(B53="Missing file",H53="",H53=0),"n.a.",E53/H53-1)</x:f>
        <x:v>-0.1327433557698947</x:v>
      </x:c>
      <x:c r="J53" s="5" t="n">
        <x:f>IF(OR(B53="Missing file",D53=0),"n.a.",E53/D53)</x:f>
        <x:v>372.3335820627803</x:v>
      </x:c>
      <x:c r="K53" s="2"/>
      <x:c r="L53" s="2"/>
      <x:c r="M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6">
      <x:c r="L56" t="str">
        <x:v>Month</x:v>
      </x:c>
      <x:c r="M56" t="str">
        <x:v>Sales</x:v>
      </x:c>
    </x:row>
    <x:row r="57">
      <x:c r="L57" t="str">
        <x:f>TEXT(A42,"mmm yy")</x:f>
        <x:v>Jan 18</x:v>
      </x:c>
      <x:c r="M57" t="n">
        <x:f>E42</x:f>
        <x:v>43476.474</x:v>
      </x:c>
    </x:row>
    <x:row r="58">
      <x:c r="L58" t="str">
        <x:f>TEXT(A43,"mmm yy")</x:f>
        <x:v>Feb 18</x:v>
      </x:c>
      <x:c r="M58" t="n">
        <x:f>E43</x:f>
        <x:v>19920.9974</x:v>
      </x:c>
    </x:row>
    <x:row r="59">
      <x:c r="L59" t="str">
        <x:f>TEXT(A44,"mmm yy")</x:f>
        <x:v>Mar 18</x:v>
      </x:c>
      <x:c r="M59" t="n">
        <x:f>E44</x:f>
        <x:v>58863.4128</x:v>
      </x:c>
    </x:row>
    <x:row r="60">
      <x:c r="L60" t="str">
        <x:f>TEXT(A45,"mmm yy")</x:f>
        <x:v>Apr 18</x:v>
      </x:c>
      <x:c r="M60" t="n">
        <x:f>E45</x:f>
        <x:v>35541.9101</x:v>
      </x:c>
    </x:row>
    <x:row r="61">
      <x:c r="L61" t="str">
        <x:f>TEXT(A46,"mmm yy")</x:f>
        <x:v>May 18</x:v>
      </x:c>
      <x:c r="M61" t="n">
        <x:f>E46</x:f>
        <x:v>43825.9822</x:v>
      </x:c>
    </x:row>
    <x:row r="62">
      <x:c r="L62" t="str">
        <x:f>TEXT(A47,"mmm yy")</x:f>
        <x:v>Jun 18</x:v>
      </x:c>
      <x:c r="M62" t="n">
        <x:f>E47</x:f>
        <x:v>48190.7277</x:v>
      </x:c>
    </x:row>
    <x:row r="63">
      <x:c r="L63" t="str">
        <x:f>TEXT(A48,"mmm yy")</x:f>
        <x:v>Jul 18</x:v>
      </x:c>
      <x:c r="M63" t="n">
        <x:f>E48</x:f>
        <x:v>44825.104</x:v>
      </x:c>
    </x:row>
    <x:row r="64">
      <x:c r="L64" t="str">
        <x:f>TEXT(A49,"mmm yy")</x:f>
        <x:v>Aug 18</x:v>
      </x:c>
      <x:c r="M64" t="n">
        <x:f>E49</x:f>
        <x:v>62837.848</x:v>
      </x:c>
    </x:row>
    <x:row r="65">
      <x:c r="L65" t="str">
        <x:f>TEXT(A50,"mmm yy")</x:f>
        <x:v>Sep 18</x:v>
      </x:c>
      <x:c r="M65" t="n">
        <x:f>E50</x:f>
        <x:v>86152.888</x:v>
      </x:c>
    </x:row>
    <x:row r="66">
      <x:c r="L66" t="str">
        <x:f>TEXT(A51,"mmm yy")</x:f>
        <x:v>Oct 18</x:v>
      </x:c>
      <x:c r="M66" t="n">
        <x:f>E51</x:f>
        <x:v>77448.1312</x:v>
      </x:c>
    </x:row>
    <x:row r="67">
      <x:c r="L67" t="str">
        <x:f>TEXT(A52,"mmm yy")</x:f>
        <x:v>Nov 18</x:v>
      </x:c>
      <x:c r="M67" t="n">
        <x:f>E52</x:f>
        <x:v>117938.155</x:v>
      </x:c>
    </x:row>
    <x:row r="68">
      <x:c r="L68" t="str">
        <x:f>TEXT(A53,"mmm yy")</x:f>
        <x:v>Dec 18</x:v>
      </x:c>
      <x:c r="M68" t="n">
        <x:f>E53</x:f>
        <x:v>83030.3888</x:v>
      </x:c>
    </x:row>
  </x:sheetData>
  <x:conditionalFormatting sqref="B6:B53">
    <x:cfRule type="containsText" dxfId="2" priority="1" operator="containsText" text="Missing file"/>
  </x:conditionalFormatting>
  <x:pageMargins left="0.7" right="0.7" top="0.75" bottom="0.75" header="0.3" footer="0.3"/>
  <x:tableParts count="1">
    <x:tablePart xmlns:r="http://schemas.openxmlformats.org/officeDocument/2006/relationships" r:id="R5c18a0d4e12743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7" hidden="0" customWidth="1"/>
    <x:col min="4" max="4" width="21" hidden="0" customWidth="1"/>
    <x:col min="5" max="5" width="19" hidden="0" customWidth="1"/>
    <x:col min="6" max="6" width="44" hidden="0" customWidth="1"/>
    <x:col min="7" max="7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Category review &amp; saved notes</x:v>
      </x:c>
      <x:c r="B2" s="2"/>
      <x:c r="C2" s="2"/>
      <x:c r="D2" s="2"/>
      <x:c r="E2" s="2"/>
      <x:c r="F2" s="2"/>
      <x:c r="G2" s="2"/>
    </x:row>
    <x:row r="3" ht="24" customHeight="1">
      <x:c r="A3" s="21" t="str">
        <x:v>Edit yellow Owner / Review status / Review note cells. Export this sheet as CSV UTF-8 and import notes before refreshing.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8" customHeight="1">
      <x:c r="A5" s="15" t="str">
        <x:v>Month key</x:v>
      </x:c>
      <x:c r="B5" s="15" t="str">
        <x:v>Category</x:v>
      </x:c>
      <x:c r="C5" s="15" t="str">
        <x:v>Sales</x:v>
      </x:c>
      <x:c r="D5" s="15" t="str">
        <x:v>Owner</x:v>
      </x:c>
      <x:c r="E5" s="15" t="str">
        <x:v>Review status</x:v>
      </x:c>
      <x:c r="F5" s="15" t="str">
        <x:v>Review note</x:v>
      </x:c>
      <x:c r="G5" s="15" t="str">
        <x:v>Next action</x:v>
      </x:c>
    </x:row>
    <x:row r="6" ht="30" customHeight="1">
      <x:c r="A6" s="22" t="str">
        <x:v>2015-01</x:v>
      </x:c>
      <x:c r="B6" s="2" t="str">
        <x:v>Furniture</x:v>
      </x:c>
      <x:c r="C6" s="5" t="n">
        <x:v>6217.277</x:v>
      </x:c>
      <x:c r="D6" s="23" t="str"/>
      <x:c r="E6" s="23" t="str">
        <x:v>Not started</x:v>
      </x:c>
      <x:c r="F6" s="24" t="str"/>
      <x:c r="G6" s="2" t="str">
        <x:f>IF(E6="Reviewed",IF(AND(D6&lt;&gt;"",F6&lt;&gt;""),"Complete","Add owner and note"),IF(D6="","Assign owner","Review period"))</x:f>
        <x:v>Assign owner</x:v>
      </x:c>
    </x:row>
    <x:row r="7" ht="30" customHeight="1">
      <x:c r="A7" s="22" t="str">
        <x:v>2015-01</x:v>
      </x:c>
      <x:c r="B7" s="2" t="str">
        <x:v>Office Supplies</x:v>
      </x:c>
      <x:c r="C7" s="5" t="n">
        <x:v>4845.14</x:v>
      </x:c>
      <x:c r="D7" s="23" t="str"/>
      <x:c r="E7" s="23" t="str">
        <x:v>Not started</x:v>
      </x:c>
      <x:c r="F7" s="24" t="str"/>
      <x:c r="G7" s="2" t="str">
        <x:f>IF(E7="Reviewed",IF(AND(D7&lt;&gt;"",F7&lt;&gt;""),"Complete","Add owner and note"),IF(D7="","Assign owner","Review period"))</x:f>
        <x:v>Assign owner</x:v>
      </x:c>
    </x:row>
    <x:row r="8" ht="30" customHeight="1">
      <x:c r="A8" s="22" t="str">
        <x:v>2015-01</x:v>
      </x:c>
      <x:c r="B8" s="2" t="str">
        <x:v>Technology</x:v>
      </x:c>
      <x:c r="C8" s="5" t="n">
        <x:v>3143.29</x:v>
      </x:c>
      <x:c r="D8" s="23" t="str"/>
      <x:c r="E8" s="23" t="str">
        <x:v>Not started</x:v>
      </x:c>
      <x:c r="F8" s="24" t="str"/>
      <x:c r="G8" s="2" t="str">
        <x:f>IF(E8="Reviewed",IF(AND(D8&lt;&gt;"",F8&lt;&gt;""),"Complete","Add owner and note"),IF(D8="","Assign owner","Review period"))</x:f>
        <x:v>Assign owner</x:v>
      </x:c>
    </x:row>
    <x:row r="9" ht="30" customHeight="1">
      <x:c r="A9" s="22" t="str">
        <x:v>2015-02</x:v>
      </x:c>
      <x:c r="B9" s="2" t="str">
        <x:v>Furniture</x:v>
      </x:c>
      <x:c r="C9" s="5" t="n">
        <x:v>1839.658</x:v>
      </x:c>
      <x:c r="D9" s="23" t="str"/>
      <x:c r="E9" s="23" t="str">
        <x:v>Not started</x:v>
      </x:c>
      <x:c r="F9" s="24" t="str"/>
      <x:c r="G9" s="2" t="str">
        <x:f>IF(E9="Reviewed",IF(AND(D9&lt;&gt;"",F9&lt;&gt;""),"Complete","Add owner and note"),IF(D9="","Assign owner","Review period"))</x:f>
        <x:v>Assign owner</x:v>
      </x:c>
    </x:row>
    <x:row r="10" ht="30" customHeight="1">
      <x:c r="A10" s="22" t="str">
        <x:v>2015-02</x:v>
      </x:c>
      <x:c r="B10" s="2" t="str">
        <x:v>Office Supplies</x:v>
      </x:c>
      <x:c r="C10" s="5" t="n">
        <x:v>1071.724</x:v>
      </x:c>
      <x:c r="D10" s="23" t="str"/>
      <x:c r="E10" s="23" t="str">
        <x:v>Not started</x:v>
      </x:c>
      <x:c r="F10" s="24" t="str"/>
      <x:c r="G10" s="2" t="str">
        <x:f>IF(E10="Reviewed",IF(AND(D10&lt;&gt;"",F10&lt;&gt;""),"Complete","Add owner and note"),IF(D10="","Assign owner","Review period"))</x:f>
        <x:v>Assign owner</x:v>
      </x:c>
    </x:row>
    <x:row r="11" ht="30" customHeight="1">
      <x:c r="A11" s="22" t="str">
        <x:v>2015-02</x:v>
      </x:c>
      <x:c r="B11" s="2" t="str">
        <x:v>Technology</x:v>
      </x:c>
      <x:c r="C11" s="5" t="n">
        <x:v>1608.51</x:v>
      </x:c>
      <x:c r="D11" s="23" t="str"/>
      <x:c r="E11" s="23" t="str">
        <x:v>Not started</x:v>
      </x:c>
      <x:c r="F11" s="24" t="str"/>
      <x:c r="G11" s="2" t="str">
        <x:f>IF(E11="Reviewed",IF(AND(D11&lt;&gt;"",F11&lt;&gt;""),"Complete","Add owner and note"),IF(D11="","Assign owner","Review period"))</x:f>
        <x:v>Assign owner</x:v>
      </x:c>
    </x:row>
    <x:row r="12" ht="30" customHeight="1">
      <x:c r="A12" s="22" t="str">
        <x:v>2015-03</x:v>
      </x:c>
      <x:c r="B12" s="2" t="str">
        <x:v>Furniture</x:v>
      </x:c>
      <x:c r="C12" s="5" t="n">
        <x:v>14243.368</x:v>
      </x:c>
      <x:c r="D12" s="23" t="str"/>
      <x:c r="E12" s="23" t="str">
        <x:v>Not started</x:v>
      </x:c>
      <x:c r="F12" s="24" t="str"/>
      <x:c r="G12" s="2" t="str">
        <x:f>IF(E12="Reviewed",IF(AND(D12&lt;&gt;"",F12&lt;&gt;""),"Complete","Add owner and note"),IF(D12="","Assign owner","Review period"))</x:f>
        <x:v>Assign owner</x:v>
      </x:c>
    </x:row>
    <x:row r="13" ht="30" customHeight="1">
      <x:c r="A13" s="22" t="str">
        <x:v>2015-03</x:v>
      </x:c>
      <x:c r="B13" s="2" t="str">
        <x:v>Office Supplies</x:v>
      </x:c>
      <x:c r="C13" s="5" t="n">
        <x:v>8602.455</x:v>
      </x:c>
      <x:c r="D13" s="23" t="str"/>
      <x:c r="E13" s="23" t="str">
        <x:v>Not started</x:v>
      </x:c>
      <x:c r="F13" s="24" t="str"/>
      <x:c r="G13" s="2" t="str">
        <x:f>IF(E13="Reviewed",IF(AND(D13&lt;&gt;"",F13&lt;&gt;""),"Complete","Add owner and note"),IF(D13="","Assign owner","Review period"))</x:f>
        <x:v>Assign owner</x:v>
      </x:c>
    </x:row>
    <x:row r="14" ht="30" customHeight="1">
      <x:c r="A14" s="22" t="str">
        <x:v>2015-03</x:v>
      </x:c>
      <x:c r="B14" s="2" t="str">
        <x:v>Technology</x:v>
      </x:c>
      <x:c r="C14" s="5" t="n">
        <x:v>32359.974</x:v>
      </x:c>
      <x:c r="D14" s="23" t="str"/>
      <x:c r="E14" s="23" t="str">
        <x:v>Not started</x:v>
      </x:c>
      <x:c r="F14" s="24" t="str"/>
      <x:c r="G14" s="2" t="str">
        <x:f>IF(E14="Reviewed",IF(AND(D14&lt;&gt;"",F14&lt;&gt;""),"Complete","Add owner and note"),IF(D14="","Assign owner","Review period"))</x:f>
        <x:v>Assign owner</x:v>
      </x:c>
    </x:row>
    <x:row r="15" ht="30" customHeight="1">
      <x:c r="A15" s="22" t="str">
        <x:v>2015-04</x:v>
      </x:c>
      <x:c r="B15" s="2" t="str">
        <x:v>Furniture</x:v>
      </x:c>
      <x:c r="C15" s="5" t="n">
        <x:v>7944.837</x:v>
      </x:c>
      <x:c r="D15" s="23" t="str"/>
      <x:c r="E15" s="23" t="str">
        <x:v>Not started</x:v>
      </x:c>
      <x:c r="F15" s="24" t="str"/>
      <x:c r="G15" s="2" t="str">
        <x:f>IF(E15="Reviewed",IF(AND(D15&lt;&gt;"",F15&lt;&gt;""),"Complete","Add owner and note"),IF(D15="","Assign owner","Review period"))</x:f>
        <x:v>Assign owner</x:v>
      </x:c>
    </x:row>
    <x:row r="16" ht="30" customHeight="1">
      <x:c r="A16" s="22" t="str">
        <x:v>2015-04</x:v>
      </x:c>
      <x:c r="B16" s="2" t="str">
        <x:v>Office Supplies</x:v>
      </x:c>
      <x:c r="C16" s="5" t="n">
        <x:v>10988.874</x:v>
      </x:c>
      <x:c r="D16" s="23" t="str"/>
      <x:c r="E16" s="23" t="str">
        <x:v>Not started</x:v>
      </x:c>
      <x:c r="F16" s="24" t="str"/>
      <x:c r="G16" s="2" t="str">
        <x:f>IF(E16="Reviewed",IF(AND(D16&lt;&gt;"",F16&lt;&gt;""),"Complete","Add owner and note"),IF(D16="","Assign owner","Review period"))</x:f>
        <x:v>Assign owner</x:v>
      </x:c>
    </x:row>
    <x:row r="17" ht="30" customHeight="1">
      <x:c r="A17" s="22" t="str">
        <x:v>2015-04</x:v>
      </x:c>
      <x:c r="B17" s="2" t="str">
        <x:v>Technology</x:v>
      </x:c>
      <x:c r="C17" s="5" t="n">
        <x:v>8973.144</x:v>
      </x:c>
      <x:c r="D17" s="23" t="str"/>
      <x:c r="E17" s="23" t="str">
        <x:v>Not started</x:v>
      </x:c>
      <x:c r="F17" s="24" t="str"/>
      <x:c r="G17" s="2" t="str">
        <x:f>IF(E17="Reviewed",IF(AND(D17&lt;&gt;"",F17&lt;&gt;""),"Complete","Add owner and note"),IF(D17="","Assign owner","Review period"))</x:f>
        <x:v>Assign owner</x:v>
      </x:c>
    </x:row>
    <x:row r="18" ht="30" customHeight="1">
      <x:c r="A18" s="22" t="str">
        <x:v>2015-05</x:v>
      </x:c>
      <x:c r="B18" s="2" t="str">
        <x:v>Furniture</x:v>
      </x:c>
      <x:c r="C18" s="5" t="n">
        <x:v>6912.787</x:v>
      </x:c>
      <x:c r="D18" s="23" t="str"/>
      <x:c r="E18" s="23" t="str">
        <x:v>Not started</x:v>
      </x:c>
      <x:c r="F18" s="24" t="str"/>
      <x:c r="G18" s="2" t="str">
        <x:f>IF(E18="Reviewed",IF(AND(D18&lt;&gt;"",F18&lt;&gt;""),"Complete","Add owner and note"),IF(D18="","Assign owner","Review period"))</x:f>
        <x:v>Assign owner</x:v>
      </x:c>
    </x:row>
    <x:row r="19" ht="30" customHeight="1">
      <x:c r="A19" s="22" t="str">
        <x:v>2015-05</x:v>
      </x:c>
      <x:c r="B19" s="2" t="str">
        <x:v>Office Supplies</x:v>
      </x:c>
      <x:c r="C19" s="5" t="n">
        <x:v>7131.64</x:v>
      </x:c>
      <x:c r="D19" s="23" t="str"/>
      <x:c r="E19" s="23" t="str">
        <x:v>Not started</x:v>
      </x:c>
      <x:c r="F19" s="24" t="str"/>
      <x:c r="G19" s="2" t="str">
        <x:f>IF(E19="Reviewed",IF(AND(D19&lt;&gt;"",F19&lt;&gt;""),"Complete","Add owner and note"),IF(D19="","Assign owner","Review period"))</x:f>
        <x:v>Assign owner</x:v>
      </x:c>
    </x:row>
    <x:row r="20" ht="30" customHeight="1">
      <x:c r="A20" s="22" t="str">
        <x:v>2015-05</x:v>
      </x:c>
      <x:c r="B20" s="2" t="str">
        <x:v>Technology</x:v>
      </x:c>
      <x:c r="C20" s="5" t="n">
        <x:v>9599.876</x:v>
      </x:c>
      <x:c r="D20" s="23" t="str"/>
      <x:c r="E20" s="23" t="str">
        <x:v>Not started</x:v>
      </x:c>
      <x:c r="F20" s="24" t="str"/>
      <x:c r="G20" s="2" t="str">
        <x:f>IF(E20="Reviewed",IF(AND(D20&lt;&gt;"",F20&lt;&gt;""),"Complete","Add owner and note"),IF(D20="","Assign owner","Review period"))</x:f>
        <x:v>Assign owner</x:v>
      </x:c>
    </x:row>
    <x:row r="21" ht="30" customHeight="1">
      <x:c r="A21" s="22" t="str">
        <x:v>2015-06</x:v>
      </x:c>
      <x:c r="B21" s="2" t="str">
        <x:v>Furniture</x:v>
      </x:c>
      <x:c r="C21" s="5" t="n">
        <x:v>13144.5816</x:v>
      </x:c>
      <x:c r="D21" s="23" t="str"/>
      <x:c r="E21" s="23" t="str">
        <x:v>Not started</x:v>
      </x:c>
      <x:c r="F21" s="24" t="str"/>
      <x:c r="G21" s="2" t="str">
        <x:f>IF(E21="Reviewed",IF(AND(D21&lt;&gt;"",F21&lt;&gt;""),"Complete","Add owner and note"),IF(D21="","Assign owner","Review period"))</x:f>
        <x:v>Assign owner</x:v>
      </x:c>
    </x:row>
    <x:row r="22" ht="30" customHeight="1">
      <x:c r="A22" s="22" t="str">
        <x:v>2015-06</x:v>
      </x:c>
      <x:c r="B22" s="2" t="str">
        <x:v>Office Supplies</x:v>
      </x:c>
      <x:c r="C22" s="5" t="n">
        <x:v>12742.389</x:v>
      </x:c>
      <x:c r="D22" s="23" t="str"/>
      <x:c r="E22" s="23" t="str">
        <x:v>Not started</x:v>
      </x:c>
      <x:c r="F22" s="24" t="str"/>
      <x:c r="G22" s="2" t="str">
        <x:f>IF(E22="Reviewed",IF(AND(D22&lt;&gt;"",F22&lt;&gt;""),"Complete","Add owner and note"),IF(D22="","Assign owner","Review period"))</x:f>
        <x:v>Assign owner</x:v>
      </x:c>
    </x:row>
    <x:row r="23" ht="30" customHeight="1">
      <x:c r="A23" s="22" t="str">
        <x:v>2015-06</x:v>
      </x:c>
      <x:c r="B23" s="2" t="str">
        <x:v>Technology</x:v>
      </x:c>
      <x:c r="C23" s="5" t="n">
        <x:v>8435.965</x:v>
      </x:c>
      <x:c r="D23" s="23" t="str"/>
      <x:c r="E23" s="23" t="str">
        <x:v>Not started</x:v>
      </x:c>
      <x:c r="F23" s="24" t="str"/>
      <x:c r="G23" s="2" t="str">
        <x:f>IF(E23="Reviewed",IF(AND(D23&lt;&gt;"",F23&lt;&gt;""),"Complete","Add owner and note"),IF(D23="","Assign owner","Review period"))</x:f>
        <x:v>Assign owner</x:v>
      </x:c>
    </x:row>
    <x:row r="24" ht="30" customHeight="1">
      <x:c r="A24" s="22" t="str">
        <x:v>2015-07</x:v>
      </x:c>
      <x:c r="B24" s="2" t="str">
        <x:v>Furniture</x:v>
      </x:c>
      <x:c r="C24" s="5" t="n">
        <x:v>10821.051</x:v>
      </x:c>
      <x:c r="D24" s="23" t="str"/>
      <x:c r="E24" s="23" t="str">
        <x:v>Not started</x:v>
      </x:c>
      <x:c r="F24" s="24" t="str"/>
      <x:c r="G24" s="2" t="str">
        <x:f>IF(E24="Reviewed",IF(AND(D24&lt;&gt;"",F24&lt;&gt;""),"Complete","Add owner and note"),IF(D24="","Assign owner","Review period"))</x:f>
        <x:v>Assign owner</x:v>
      </x:c>
    </x:row>
    <x:row r="25" ht="30" customHeight="1">
      <x:c r="A25" s="22" t="str">
        <x:v>2015-07</x:v>
      </x:c>
      <x:c r="B25" s="2" t="str">
        <x:v>Office Supplies</x:v>
      </x:c>
      <x:c r="C25" s="5" t="n">
        <x:v>15121.208</x:v>
      </x:c>
      <x:c r="D25" s="23" t="str"/>
      <x:c r="E25" s="23" t="str">
        <x:v>Not started</x:v>
      </x:c>
      <x:c r="F25" s="24" t="str"/>
      <x:c r="G25" s="2" t="str">
        <x:f>IF(E25="Reviewed",IF(AND(D25&lt;&gt;"",F25&lt;&gt;""),"Complete","Add owner and note"),IF(D25="","Assign owner","Review period"))</x:f>
        <x:v>Assign owner</x:v>
      </x:c>
    </x:row>
    <x:row r="26" ht="30" customHeight="1">
      <x:c r="A26" s="22" t="str">
        <x:v>2015-07</x:v>
      </x:c>
      <x:c r="B26" s="2" t="str">
        <x:v>Technology</x:v>
      </x:c>
      <x:c r="C26" s="5" t="n">
        <x:v>7839.284</x:v>
      </x:c>
      <x:c r="D26" s="23" t="str"/>
      <x:c r="E26" s="23" t="str">
        <x:v>Not started</x:v>
      </x:c>
      <x:c r="F26" s="24" t="str"/>
      <x:c r="G26" s="2" t="str">
        <x:f>IF(E26="Reviewed",IF(AND(D26&lt;&gt;"",F26&lt;&gt;""),"Complete","Add owner and note"),IF(D26="","Assign owner","Review period"))</x:f>
        <x:v>Assign owner</x:v>
      </x:c>
    </x:row>
    <x:row r="27" ht="30" customHeight="1">
      <x:c r="A27" s="22" t="str">
        <x:v>2015-08</x:v>
      </x:c>
      <x:c r="B27" s="2" t="str">
        <x:v>Furniture</x:v>
      </x:c>
      <x:c r="C27" s="5" t="n">
        <x:v>7125.2105</x:v>
      </x:c>
      <x:c r="D27" s="23" t="str"/>
      <x:c r="E27" s="23" t="str">
        <x:v>Not started</x:v>
      </x:c>
      <x:c r="F27" s="24" t="str"/>
      <x:c r="G27" s="2" t="str">
        <x:f>IF(E27="Reviewed",IF(AND(D27&lt;&gt;"",F27&lt;&gt;""),"Complete","Add owner and note"),IF(D27="","Assign owner","Review period"))</x:f>
        <x:v>Assign owner</x:v>
      </x:c>
    </x:row>
    <x:row r="28" ht="30" customHeight="1">
      <x:c r="A28" s="22" t="str">
        <x:v>2015-08</x:v>
      </x:c>
      <x:c r="B28" s="2" t="str">
        <x:v>Office Supplies</x:v>
      </x:c>
      <x:c r="C28" s="5" t="n">
        <x:v>11055.276</x:v>
      </x:c>
      <x:c r="D28" s="23" t="str"/>
      <x:c r="E28" s="23" t="str">
        <x:v>Not started</x:v>
      </x:c>
      <x:c r="F28" s="24" t="str"/>
      <x:c r="G28" s="2" t="str">
        <x:f>IF(E28="Reviewed",IF(AND(D28&lt;&gt;"",F28&lt;&gt;""),"Complete","Add owner and note"),IF(D28="","Assign owner","Review period"))</x:f>
        <x:v>Assign owner</x:v>
      </x:c>
    </x:row>
    <x:row r="29" ht="30" customHeight="1">
      <x:c r="A29" s="22" t="str">
        <x:v>2015-08</x:v>
      </x:c>
      <x:c r="B29" s="2" t="str">
        <x:v>Technology</x:v>
      </x:c>
      <x:c r="C29" s="5" t="n">
        <x:v>8937.05</x:v>
      </x:c>
      <x:c r="D29" s="23" t="str"/>
      <x:c r="E29" s="23" t="str">
        <x:v>Not started</x:v>
      </x:c>
      <x:c r="F29" s="24" t="str"/>
      <x:c r="G29" s="2" t="str">
        <x:f>IF(E29="Reviewed",IF(AND(D29&lt;&gt;"",F29&lt;&gt;""),"Complete","Add owner and note"),IF(D29="","Assign owner","Review period"))</x:f>
        <x:v>Assign owner</x:v>
      </x:c>
    </x:row>
    <x:row r="30" ht="30" customHeight="1">
      <x:c r="A30" s="22" t="str">
        <x:v>2015-09</x:v>
      </x:c>
      <x:c r="B30" s="2" t="str">
        <x:v>Furniture</x:v>
      </x:c>
      <x:c r="C30" s="5" t="n">
        <x:v>23816.4808</x:v>
      </x:c>
      <x:c r="D30" s="23" t="str"/>
      <x:c r="E30" s="23" t="str">
        <x:v>Not started</x:v>
      </x:c>
      <x:c r="F30" s="24" t="str"/>
      <x:c r="G30" s="2" t="str">
        <x:f>IF(E30="Reviewed",IF(AND(D30&lt;&gt;"",F30&lt;&gt;""),"Complete","Add owner and note"),IF(D30="","Assign owner","Review period"))</x:f>
        <x:v>Assign owner</x:v>
      </x:c>
    </x:row>
    <x:row r="31" ht="30" customHeight="1">
      <x:c r="A31" s="22" t="str">
        <x:v>2015-09</x:v>
      </x:c>
      <x:c r="B31" s="2" t="str">
        <x:v>Office Supplies</x:v>
      </x:c>
      <x:c r="C31" s="5" t="n">
        <x:v>27423.298</x:v>
      </x:c>
      <x:c r="D31" s="23" t="str"/>
      <x:c r="E31" s="23" t="str">
        <x:v>Not started</x:v>
      </x:c>
      <x:c r="F31" s="24" t="str"/>
      <x:c r="G31" s="2" t="str">
        <x:f>IF(E31="Reviewed",IF(AND(D31&lt;&gt;"",F31&lt;&gt;""),"Complete","Add owner and note"),IF(D31="","Assign owner","Review period"))</x:f>
        <x:v>Assign owner</x:v>
      </x:c>
    </x:row>
    <x:row r="32" ht="30" customHeight="1">
      <x:c r="A32" s="22" t="str">
        <x:v>2015-09</x:v>
      </x:c>
      <x:c r="B32" s="2" t="str">
        <x:v>Technology</x:v>
      </x:c>
      <x:c r="C32" s="5" t="n">
        <x:v>30383.748</x:v>
      </x:c>
      <x:c r="D32" s="23" t="str"/>
      <x:c r="E32" s="23" t="str">
        <x:v>Not started</x:v>
      </x:c>
      <x:c r="F32" s="24" t="str"/>
      <x:c r="G32" s="2" t="str">
        <x:f>IF(E32="Reviewed",IF(AND(D32&lt;&gt;"",F32&lt;&gt;""),"Complete","Add owner and note"),IF(D32="","Assign owner","Review period"))</x:f>
        <x:v>Assign owner</x:v>
      </x:c>
    </x:row>
    <x:row r="33" ht="30" customHeight="1">
      <x:c r="A33" s="22" t="str">
        <x:v>2015-10</x:v>
      </x:c>
      <x:c r="B33" s="2" t="str">
        <x:v>Furniture</x:v>
      </x:c>
      <x:c r="C33" s="5" t="n">
        <x:v>12304.247</x:v>
      </x:c>
      <x:c r="D33" s="23" t="str"/>
      <x:c r="E33" s="23" t="str">
        <x:v>Not started</x:v>
      </x:c>
      <x:c r="F33" s="24" t="str"/>
      <x:c r="G33" s="2" t="str">
        <x:f>IF(E33="Reviewed",IF(AND(D33&lt;&gt;"",F33&lt;&gt;""),"Complete","Add owner and note"),IF(D33="","Assign owner","Review period"))</x:f>
        <x:v>Assign owner</x:v>
      </x:c>
    </x:row>
    <x:row r="34" ht="30" customHeight="1">
      <x:c r="A34" s="22" t="str">
        <x:v>2015-10</x:v>
      </x:c>
      <x:c r="B34" s="2" t="str">
        <x:v>Office Supplies</x:v>
      </x:c>
      <x:c r="C34" s="5" t="n">
        <x:v>7211.128</x:v>
      </x:c>
      <x:c r="D34" s="23" t="str"/>
      <x:c r="E34" s="23" t="str">
        <x:v>Not started</x:v>
      </x:c>
      <x:c r="F34" s="24" t="str"/>
      <x:c r="G34" s="2" t="str">
        <x:f>IF(E34="Reviewed",IF(AND(D34&lt;&gt;"",F34&lt;&gt;""),"Complete","Add owner and note"),IF(D34="","Assign owner","Review period"))</x:f>
        <x:v>Assign owner</x:v>
      </x:c>
    </x:row>
    <x:row r="35" ht="30" customHeight="1">
      <x:c r="A35" s="22" t="str">
        <x:v>2015-10</x:v>
      </x:c>
      <x:c r="B35" s="2" t="str">
        <x:v>Technology</x:v>
      </x:c>
      <x:c r="C35" s="5" t="n">
        <x:v>11938.018</x:v>
      </x:c>
      <x:c r="D35" s="23" t="str"/>
      <x:c r="E35" s="23" t="str">
        <x:v>Not started</x:v>
      </x:c>
      <x:c r="F35" s="24" t="str"/>
      <x:c r="G35" s="2" t="str">
        <x:f>IF(E35="Reviewed",IF(AND(D35&lt;&gt;"",F35&lt;&gt;""),"Complete","Add owner and note"),IF(D35="","Assign owner","Review period"))</x:f>
        <x:v>Assign owner</x:v>
      </x:c>
    </x:row>
    <x:row r="36" ht="30" customHeight="1">
      <x:c r="A36" s="22" t="str">
        <x:v>2015-11</x:v>
      </x:c>
      <x:c r="B36" s="2" t="str">
        <x:v>Furniture</x:v>
      </x:c>
      <x:c r="C36" s="5" t="n">
        <x:v>21471.0407</x:v>
      </x:c>
      <x:c r="D36" s="23" t="str"/>
      <x:c r="E36" s="23" t="str">
        <x:v>Not started</x:v>
      </x:c>
      <x:c r="F36" s="24" t="str"/>
      <x:c r="G36" s="2" t="str">
        <x:f>IF(E36="Reviewed",IF(AND(D36&lt;&gt;"",F36&lt;&gt;""),"Complete","Add owner and note"),IF(D36="","Assign owner","Review period"))</x:f>
        <x:v>Assign owner</x:v>
      </x:c>
    </x:row>
    <x:row r="37" ht="30" customHeight="1">
      <x:c r="A37" s="22" t="str">
        <x:v>2015-11</x:v>
      </x:c>
      <x:c r="B37" s="2" t="str">
        <x:v>Office Supplies</x:v>
      </x:c>
      <x:c r="C37" s="5" t="n">
        <x:v>26363.196</x:v>
      </x:c>
      <x:c r="D37" s="23" t="str"/>
      <x:c r="E37" s="23" t="str">
        <x:v>Not started</x:v>
      </x:c>
      <x:c r="F37" s="24" t="str"/>
      <x:c r="G37" s="2" t="str">
        <x:f>IF(E37="Reviewed",IF(AND(D37&lt;&gt;"",F37&lt;&gt;""),"Complete","Add owner and note"),IF(D37="","Assign owner","Review period"))</x:f>
        <x:v>Assign owner</x:v>
      </x:c>
    </x:row>
    <x:row r="38" ht="30" customHeight="1">
      <x:c r="A38" s="22" t="str">
        <x:v>2015-11</x:v>
      </x:c>
      <x:c r="B38" s="2" t="str">
        <x:v>Technology</x:v>
      </x:c>
      <x:c r="C38" s="5" t="n">
        <x:v>30073.424</x:v>
      </x:c>
      <x:c r="D38" s="23" t="str"/>
      <x:c r="E38" s="23" t="str">
        <x:v>Not started</x:v>
      </x:c>
      <x:c r="F38" s="24" t="str"/>
      <x:c r="G38" s="2" t="str">
        <x:f>IF(E38="Reviewed",IF(AND(D38&lt;&gt;"",F38&lt;&gt;""),"Complete","Add owner and note"),IF(D38="","Assign owner","Review period"))</x:f>
        <x:v>Assign owner</x:v>
      </x:c>
    </x:row>
    <x:row r="39" ht="30" customHeight="1">
      <x:c r="A39" s="22" t="str">
        <x:v>2015-12</x:v>
      </x:c>
      <x:c r="B39" s="2" t="str">
        <x:v>Furniture</x:v>
      </x:c>
      <x:c r="C39" s="5" t="n">
        <x:v>30637.3425</x:v>
      </x:c>
      <x:c r="D39" s="23" t="str"/>
      <x:c r="E39" s="23" t="str">
        <x:v>Not started</x:v>
      </x:c>
      <x:c r="F39" s="24" t="str"/>
      <x:c r="G39" s="2" t="str">
        <x:f>IF(E39="Reviewed",IF(AND(D39&lt;&gt;"",F39&lt;&gt;""),"Complete","Add owner and note"),IF(D39="","Assign owner","Review period"))</x:f>
        <x:v>Assign owner</x:v>
      </x:c>
    </x:row>
    <x:row r="40" ht="30" customHeight="1">
      <x:c r="A40" s="22" t="str">
        <x:v>2015-12</x:v>
      </x:c>
      <x:c r="B40" s="2" t="str">
        <x:v>Office Supplies</x:v>
      </x:c>
      <x:c r="C40" s="5" t="n">
        <x:v>16956.492</x:v>
      </x:c>
      <x:c r="D40" s="23" t="str"/>
      <x:c r="E40" s="23" t="str">
        <x:v>Not started</x:v>
      </x:c>
      <x:c r="F40" s="24" t="str"/>
      <x:c r="G40" s="2" t="str">
        <x:f>IF(E40="Reviewed",IF(AND(D40&lt;&gt;"",F40&lt;&gt;""),"Complete","Add owner and note"),IF(D40="","Assign owner","Review period"))</x:f>
        <x:v>Assign owner</x:v>
      </x:c>
    </x:row>
    <x:row r="41" ht="30" customHeight="1">
      <x:c r="A41" s="22" t="str">
        <x:v>2015-12</x:v>
      </x:c>
      <x:c r="B41" s="2" t="str">
        <x:v>Technology</x:v>
      </x:c>
      <x:c r="C41" s="5" t="n">
        <x:v>20573.224</x:v>
      </x:c>
      <x:c r="D41" s="23" t="str"/>
      <x:c r="E41" s="23" t="str">
        <x:v>Not started</x:v>
      </x:c>
      <x:c r="F41" s="24" t="str"/>
      <x:c r="G41" s="2" t="str">
        <x:f>IF(E41="Reviewed",IF(AND(D41&lt;&gt;"",F41&lt;&gt;""),"Complete","Add owner and note"),IF(D41="","Assign owner","Review period"))</x:f>
        <x:v>Assign owner</x:v>
      </x:c>
    </x:row>
    <x:row r="42" ht="30" customHeight="1">
      <x:c r="A42" s="22" t="str">
        <x:v>2016-01</x:v>
      </x:c>
      <x:c r="B42" s="2" t="str">
        <x:v>Furniture</x:v>
      </x:c>
      <x:c r="C42" s="5" t="n">
        <x:v>11739.9416</x:v>
      </x:c>
      <x:c r="D42" s="23" t="str"/>
      <x:c r="E42" s="23" t="str">
        <x:v>Not started</x:v>
      </x:c>
      <x:c r="F42" s="24" t="str"/>
      <x:c r="G42" s="2" t="str">
        <x:f>IF(E42="Reviewed",IF(AND(D42&lt;&gt;"",F42&lt;&gt;""),"Complete","Add owner and note"),IF(D42="","Assign owner","Review period"))</x:f>
        <x:v>Assign owner</x:v>
      </x:c>
    </x:row>
    <x:row r="43" ht="30" customHeight="1">
      <x:c r="A43" s="22" t="str">
        <x:v>2016-01</x:v>
      </x:c>
      <x:c r="B43" s="2" t="str">
        <x:v>Office Supplies</x:v>
      </x:c>
      <x:c r="C43" s="5" t="n">
        <x:v>1808.78</x:v>
      </x:c>
      <x:c r="D43" s="23" t="str"/>
      <x:c r="E43" s="23" t="str">
        <x:v>Not started</x:v>
      </x:c>
      <x:c r="F43" s="24" t="str"/>
      <x:c r="G43" s="2" t="str">
        <x:f>IF(E43="Reviewed",IF(AND(D43&lt;&gt;"",F43&lt;&gt;""),"Complete","Add owner and note"),IF(D43="","Assign owner","Review period"))</x:f>
        <x:v>Assign owner</x:v>
      </x:c>
    </x:row>
    <x:row r="44" ht="30" customHeight="1">
      <x:c r="A44" s="22" t="str">
        <x:v>2016-01</x:v>
      </x:c>
      <x:c r="B44" s="2" t="str">
        <x:v>Technology</x:v>
      </x:c>
      <x:c r="C44" s="5" t="n">
        <x:v>4518.236</x:v>
      </x:c>
      <x:c r="D44" s="23" t="str"/>
      <x:c r="E44" s="23" t="str">
        <x:v>Not started</x:v>
      </x:c>
      <x:c r="F44" s="24" t="str"/>
      <x:c r="G44" s="2" t="str">
        <x:f>IF(E44="Reviewed",IF(AND(D44&lt;&gt;"",F44&lt;&gt;""),"Complete","Add owner and note"),IF(D44="","Assign owner","Review period"))</x:f>
        <x:v>Assign owner</x:v>
      </x:c>
    </x:row>
    <x:row r="45" ht="30" customHeight="1">
      <x:c r="A45" s="22" t="str">
        <x:v>2016-02</x:v>
      </x:c>
      <x:c r="B45" s="2" t="str">
        <x:v>Furniture</x:v>
      </x:c>
      <x:c r="C45" s="5" t="n">
        <x:v>3134.374</x:v>
      </x:c>
      <x:c r="D45" s="23" t="str"/>
      <x:c r="E45" s="23" t="str">
        <x:v>Not started</x:v>
      </x:c>
      <x:c r="F45" s="24" t="str"/>
      <x:c r="G45" s="2" t="str">
        <x:f>IF(E45="Reviewed",IF(AND(D45&lt;&gt;"",F45&lt;&gt;""),"Complete","Add owner and note"),IF(D45="","Assign owner","Review period"))</x:f>
        <x:v>Assign owner</x:v>
      </x:c>
    </x:row>
    <x:row r="46" ht="30" customHeight="1">
      <x:c r="A46" s="22" t="str">
        <x:v>2016-02</x:v>
      </x:c>
      <x:c r="B46" s="2" t="str">
        <x:v>Office Supplies</x:v>
      </x:c>
      <x:c r="C46" s="5" t="n">
        <x:v>5368.067</x:v>
      </x:c>
      <x:c r="D46" s="23" t="str"/>
      <x:c r="E46" s="23" t="str">
        <x:v>Not started</x:v>
      </x:c>
      <x:c r="F46" s="24" t="str"/>
      <x:c r="G46" s="2" t="str">
        <x:f>IF(E46="Reviewed",IF(AND(D46&lt;&gt;"",F46&lt;&gt;""),"Complete","Add owner and note"),IF(D46="","Assign owner","Review period"))</x:f>
        <x:v>Assign owner</x:v>
      </x:c>
    </x:row>
    <x:row r="47" ht="30" customHeight="1">
      <x:c r="A47" s="22" t="str">
        <x:v>2016-02</x:v>
      </x:c>
      <x:c r="B47" s="2" t="str">
        <x:v>Technology</x:v>
      </x:c>
      <x:c r="C47" s="5" t="n">
        <x:v>3448.97</x:v>
      </x:c>
      <x:c r="D47" s="23" t="str"/>
      <x:c r="E47" s="23" t="str">
        <x:v>Not started</x:v>
      </x:c>
      <x:c r="F47" s="24" t="str"/>
      <x:c r="G47" s="2" t="str">
        <x:f>IF(E47="Reviewed",IF(AND(D47&lt;&gt;"",F47&lt;&gt;""),"Complete","Add owner and note"),IF(D47="","Assign owner","Review period"))</x:f>
        <x:v>Assign owner</x:v>
      </x:c>
    </x:row>
    <x:row r="48" ht="30" customHeight="1">
      <x:c r="A48" s="22" t="str">
        <x:v>2016-03</x:v>
      </x:c>
      <x:c r="B48" s="2" t="str">
        <x:v>Furniture</x:v>
      </x:c>
      <x:c r="C48" s="5" t="n">
        <x:v>8722.6374</x:v>
      </x:c>
      <x:c r="D48" s="23" t="str"/>
      <x:c r="E48" s="23" t="str">
        <x:v>Not started</x:v>
      </x:c>
      <x:c r="F48" s="24" t="str"/>
      <x:c r="G48" s="2" t="str">
        <x:f>IF(E48="Reviewed",IF(AND(D48&lt;&gt;"",F48&lt;&gt;""),"Complete","Add owner and note"),IF(D48="","Assign owner","Review period"))</x:f>
        <x:v>Assign owner</x:v>
      </x:c>
    </x:row>
    <x:row r="49" ht="30" customHeight="1">
      <x:c r="A49" s="22" t="str">
        <x:v>2016-03</x:v>
      </x:c>
      <x:c r="B49" s="2" t="str">
        <x:v>Office Supplies</x:v>
      </x:c>
      <x:c r="C49" s="5" t="n">
        <x:v>13472.739</x:v>
      </x:c>
      <x:c r="D49" s="23" t="str"/>
      <x:c r="E49" s="23" t="str">
        <x:v>Not started</x:v>
      </x:c>
      <x:c r="F49" s="24" t="str"/>
      <x:c r="G49" s="2" t="str">
        <x:f>IF(E49="Reviewed",IF(AND(D49&lt;&gt;"",F49&lt;&gt;""),"Complete","Add owner and note"),IF(D49="","Assign owner","Review period"))</x:f>
        <x:v>Assign owner</x:v>
      </x:c>
    </x:row>
    <x:row r="50" ht="30" customHeight="1">
      <x:c r="A50" s="22" t="str">
        <x:v>2016-03</x:v>
      </x:c>
      <x:c r="B50" s="2" t="str">
        <x:v>Technology</x:v>
      </x:c>
      <x:c r="C50" s="5" t="n">
        <x:v>10143.942</x:v>
      </x:c>
      <x:c r="D50" s="23" t="str"/>
      <x:c r="E50" s="23" t="str">
        <x:v>Not started</x:v>
      </x:c>
      <x:c r="F50" s="24" t="str"/>
      <x:c r="G50" s="2" t="str">
        <x:f>IF(E50="Reviewed",IF(AND(D50&lt;&gt;"",F50&lt;&gt;""),"Complete","Add owner and note"),IF(D50="","Assign owner","Review period"))</x:f>
        <x:v>Assign owner</x:v>
      </x:c>
    </x:row>
    <x:row r="51" ht="30" customHeight="1">
      <x:c r="A51" s="22" t="str">
        <x:v>2016-04</x:v>
      </x:c>
      <x:c r="B51" s="2" t="str">
        <x:v>Furniture</x:v>
      </x:c>
      <x:c r="C51" s="5" t="n">
        <x:v>10475.6985</x:v>
      </x:c>
      <x:c r="D51" s="23" t="str"/>
      <x:c r="E51" s="23" t="str">
        <x:v>Not started</x:v>
      </x:c>
      <x:c r="F51" s="24" t="str"/>
      <x:c r="G51" s="2" t="str">
        <x:f>IF(E51="Reviewed",IF(AND(D51&lt;&gt;"",F51&lt;&gt;""),"Complete","Add owner and note"),IF(D51="","Assign owner","Review period"))</x:f>
        <x:v>Assign owner</x:v>
      </x:c>
    </x:row>
    <x:row r="52" ht="30" customHeight="1">
      <x:c r="A52" s="22" t="str">
        <x:v>2016-04</x:v>
      </x:c>
      <x:c r="B52" s="2" t="str">
        <x:v>Office Supplies</x:v>
      </x:c>
      <x:c r="C52" s="5" t="n">
        <x:v>12517.818</x:v>
      </x:c>
      <x:c r="D52" s="23" t="str"/>
      <x:c r="E52" s="23" t="str">
        <x:v>Not started</x:v>
      </x:c>
      <x:c r="F52" s="24" t="str"/>
      <x:c r="G52" s="2" t="str">
        <x:f>IF(E52="Reviewed",IF(AND(D52&lt;&gt;"",F52&lt;&gt;""),"Complete","Add owner and note"),IF(D52="","Assign owner","Review period"))</x:f>
        <x:v>Assign owner</x:v>
      </x:c>
    </x:row>
    <x:row r="53" ht="30" customHeight="1">
      <x:c r="A53" s="22" t="str">
        <x:v>2016-04</x:v>
      </x:c>
      <x:c r="B53" s="2" t="str">
        <x:v>Technology</x:v>
      </x:c>
      <x:c r="C53" s="5" t="n">
        <x:v>11160.952</x:v>
      </x:c>
      <x:c r="D53" s="23" t="str"/>
      <x:c r="E53" s="23" t="str">
        <x:v>Not started</x:v>
      </x:c>
      <x:c r="F53" s="24" t="str"/>
      <x:c r="G53" s="2" t="str">
        <x:f>IF(E53="Reviewed",IF(AND(D53&lt;&gt;"",F53&lt;&gt;""),"Complete","Add owner and note"),IF(D53="","Assign owner","Review period"))</x:f>
        <x:v>Assign owner</x:v>
      </x:c>
    </x:row>
    <x:row r="54" ht="30" customHeight="1">
      <x:c r="A54" s="22" t="str">
        <x:v>2016-05</x:v>
      </x:c>
      <x:c r="B54" s="2" t="str">
        <x:v>Furniture</x:v>
      </x:c>
      <x:c r="C54" s="5" t="n">
        <x:v>9374.9505</x:v>
      </x:c>
      <x:c r="D54" s="23" t="str"/>
      <x:c r="E54" s="23" t="str">
        <x:v>Not started</x:v>
      </x:c>
      <x:c r="F54" s="24" t="str"/>
      <x:c r="G54" s="2" t="str">
        <x:f>IF(E54="Reviewed",IF(AND(D54&lt;&gt;"",F54&lt;&gt;""),"Complete","Add owner and note"),IF(D54="","Assign owner","Review period"))</x:f>
        <x:v>Assign owner</x:v>
      </x:c>
    </x:row>
    <x:row r="55" ht="30" customHeight="1">
      <x:c r="A55" s="22" t="str">
        <x:v>2016-05</x:v>
      </x:c>
      <x:c r="B55" s="2" t="str">
        <x:v>Office Supplies</x:v>
      </x:c>
      <x:c r="C55" s="5" t="n">
        <x:v>8941.58</x:v>
      </x:c>
      <x:c r="D55" s="23" t="str"/>
      <x:c r="E55" s="23" t="str">
        <x:v>Not started</x:v>
      </x:c>
      <x:c r="F55" s="24" t="str"/>
      <x:c r="G55" s="2" t="str">
        <x:f>IF(E55="Reviewed",IF(AND(D55&lt;&gt;"",F55&lt;&gt;""),"Complete","Add owner and note"),IF(D55="","Assign owner","Review period"))</x:f>
        <x:v>Assign owner</x:v>
      </x:c>
    </x:row>
    <x:row r="56" ht="30" customHeight="1">
      <x:c r="A56" s="22" t="str">
        <x:v>2016-05</x:v>
      </x:c>
      <x:c r="B56" s="2" t="str">
        <x:v>Technology</x:v>
      </x:c>
      <x:c r="C56" s="5" t="n">
        <x:v>11643</x:v>
      </x:c>
      <x:c r="D56" s="23" t="str"/>
      <x:c r="E56" s="23" t="str">
        <x:v>Not started</x:v>
      </x:c>
      <x:c r="F56" s="24" t="str"/>
      <x:c r="G56" s="2" t="str">
        <x:f>IF(E56="Reviewed",IF(AND(D56&lt;&gt;"",F56&lt;&gt;""),"Complete","Add owner and note"),IF(D56="","Assign owner","Review period"))</x:f>
        <x:v>Assign owner</x:v>
      </x:c>
    </x:row>
    <x:row r="57" ht="30" customHeight="1">
      <x:c r="A57" s="22" t="str">
        <x:v>2016-06</x:v>
      </x:c>
      <x:c r="B57" s="2" t="str">
        <x:v>Furniture</x:v>
      </x:c>
      <x:c r="C57" s="5" t="n">
        <x:v>7540.971</x:v>
      </x:c>
      <x:c r="D57" s="23" t="str"/>
      <x:c r="E57" s="23" t="str">
        <x:v>Not started</x:v>
      </x:c>
      <x:c r="F57" s="24" t="str"/>
      <x:c r="G57" s="2" t="str">
        <x:f>IF(E57="Reviewed",IF(AND(D57&lt;&gt;"",F57&lt;&gt;""),"Complete","Add owner and note"),IF(D57="","Assign owner","Review period"))</x:f>
        <x:v>Assign owner</x:v>
      </x:c>
    </x:row>
    <x:row r="58" ht="30" customHeight="1">
      <x:c r="A58" s="22" t="str">
        <x:v>2016-06</x:v>
      </x:c>
      <x:c r="B58" s="2" t="str">
        <x:v>Office Supplies</x:v>
      </x:c>
      <x:c r="C58" s="5" t="n">
        <x:v>9623.037</x:v>
      </x:c>
      <x:c r="D58" s="23" t="str"/>
      <x:c r="E58" s="23" t="str">
        <x:v>Not started</x:v>
      </x:c>
      <x:c r="F58" s="24" t="str"/>
      <x:c r="G58" s="2" t="str">
        <x:f>IF(E58="Reviewed",IF(AND(D58&lt;&gt;"",F58&lt;&gt;""),"Complete","Add owner and note"),IF(D58="","Assign owner","Review period"))</x:f>
        <x:v>Assign owner</x:v>
      </x:c>
    </x:row>
    <x:row r="59" ht="30" customHeight="1">
      <x:c r="A59" s="22" t="str">
        <x:v>2016-06</x:v>
      </x:c>
      <x:c r="B59" s="2" t="str">
        <x:v>Technology</x:v>
      </x:c>
      <x:c r="C59" s="5" t="n">
        <x:v>6435.366</x:v>
      </x:c>
      <x:c r="D59" s="23" t="str"/>
      <x:c r="E59" s="23" t="str">
        <x:v>Not started</x:v>
      </x:c>
      <x:c r="F59" s="24" t="str"/>
      <x:c r="G59" s="2" t="str">
        <x:f>IF(E59="Reviewed",IF(AND(D59&lt;&gt;"",F59&lt;&gt;""),"Complete","Add owner and note"),IF(D59="","Assign owner","Review period"))</x:f>
        <x:v>Assign owner</x:v>
      </x:c>
    </x:row>
    <x:row r="60" ht="30" customHeight="1">
      <x:c r="A60" s="22" t="str">
        <x:v>2016-07</x:v>
      </x:c>
      <x:c r="B60" s="2" t="str">
        <x:v>Furniture</x:v>
      </x:c>
      <x:c r="C60" s="5" t="n">
        <x:v>13667.04</x:v>
      </x:c>
      <x:c r="D60" s="23" t="str"/>
      <x:c r="E60" s="23" t="str">
        <x:v>Not started</x:v>
      </x:c>
      <x:c r="F60" s="24" t="str"/>
      <x:c r="G60" s="2" t="str">
        <x:f>IF(E60="Reviewed",IF(AND(D60&lt;&gt;"",F60&lt;&gt;""),"Complete","Add owner and note"),IF(D60="","Assign owner","Review period"))</x:f>
        <x:v>Assign owner</x:v>
      </x:c>
    </x:row>
    <x:row r="61" ht="30" customHeight="1">
      <x:c r="A61" s="22" t="str">
        <x:v>2016-07</x:v>
      </x:c>
      <x:c r="B61" s="2" t="str">
        <x:v>Office Supplies</x:v>
      </x:c>
      <x:c r="C61" s="5" t="n">
        <x:v>4706.243</x:v>
      </x:c>
      <x:c r="D61" s="23" t="str"/>
      <x:c r="E61" s="23" t="str">
        <x:v>Not started</x:v>
      </x:c>
      <x:c r="F61" s="24" t="str"/>
      <x:c r="G61" s="2" t="str">
        <x:f>IF(E61="Reviewed",IF(AND(D61&lt;&gt;"",F61&lt;&gt;""),"Complete","Add owner and note"),IF(D61="","Assign owner","Review period"))</x:f>
        <x:v>Assign owner</x:v>
      </x:c>
    </x:row>
    <x:row r="62" ht="30" customHeight="1">
      <x:c r="A62" s="22" t="str">
        <x:v>2016-07</x:v>
      </x:c>
      <x:c r="B62" s="2" t="str">
        <x:v>Technology</x:v>
      </x:c>
      <x:c r="C62" s="5" t="n">
        <x:v>10234.976</x:v>
      </x:c>
      <x:c r="D62" s="23" t="str"/>
      <x:c r="E62" s="23" t="str">
        <x:v>Not started</x:v>
      </x:c>
      <x:c r="F62" s="24" t="str"/>
      <x:c r="G62" s="2" t="str">
        <x:f>IF(E62="Reviewed",IF(AND(D62&lt;&gt;"",F62&lt;&gt;""),"Complete","Add owner and note"),IF(D62="","Assign owner","Review period"))</x:f>
        <x:v>Assign owner</x:v>
      </x:c>
    </x:row>
    <x:row r="63" ht="30" customHeight="1">
      <x:c r="A63" s="22" t="str">
        <x:v>2016-08</x:v>
      </x:c>
      <x:c r="B63" s="2" t="str">
        <x:v>Furniture</x:v>
      </x:c>
      <x:c r="C63" s="5" t="n">
        <x:v>9638.5922</x:v>
      </x:c>
      <x:c r="D63" s="23" t="str"/>
      <x:c r="E63" s="23" t="str">
        <x:v>Not started</x:v>
      </x:c>
      <x:c r="F63" s="24" t="str"/>
      <x:c r="G63" s="2" t="str">
        <x:f>IF(E63="Reviewed",IF(AND(D63&lt;&gt;"",F63&lt;&gt;""),"Complete","Add owner and note"),IF(D63="","Assign owner","Review period"))</x:f>
        <x:v>Assign owner</x:v>
      </x:c>
    </x:row>
    <x:row r="64" ht="30" customHeight="1">
      <x:c r="A64" s="22" t="str">
        <x:v>2016-08</x:v>
      </x:c>
      <x:c r="B64" s="2" t="str">
        <x:v>Office Supplies</x:v>
      </x:c>
      <x:c r="C64" s="5" t="n">
        <x:v>11735.108</x:v>
      </x:c>
      <x:c r="D64" s="23" t="str"/>
      <x:c r="E64" s="23" t="str">
        <x:v>Not started</x:v>
      </x:c>
      <x:c r="F64" s="24" t="str"/>
      <x:c r="G64" s="2" t="str">
        <x:f>IF(E64="Reviewed",IF(AND(D64&lt;&gt;"",F64&lt;&gt;""),"Complete","Add owner and note"),IF(D64="","Assign owner","Review period"))</x:f>
        <x:v>Assign owner</x:v>
      </x:c>
    </x:row>
    <x:row r="65" ht="30" customHeight="1">
      <x:c r="A65" s="22" t="str">
        <x:v>2016-08</x:v>
      </x:c>
      <x:c r="B65" s="2" t="str">
        <x:v>Technology</x:v>
      </x:c>
      <x:c r="C65" s="5" t="n">
        <x:v>15444.642</x:v>
      </x:c>
      <x:c r="D65" s="23" t="str"/>
      <x:c r="E65" s="23" t="str">
        <x:v>Not started</x:v>
      </x:c>
      <x:c r="F65" s="24" t="str"/>
      <x:c r="G65" s="2" t="str">
        <x:f>IF(E65="Reviewed",IF(AND(D65&lt;&gt;"",F65&lt;&gt;""),"Complete","Add owner and note"),IF(D65="","Assign owner","Review period"))</x:f>
        <x:v>Assign owner</x:v>
      </x:c>
    </x:row>
    <x:row r="66" ht="30" customHeight="1">
      <x:c r="A66" s="22" t="str">
        <x:v>2016-09</x:v>
      </x:c>
      <x:c r="B66" s="2" t="str">
        <x:v>Furniture</x:v>
      </x:c>
      <x:c r="C66" s="5" t="n">
        <x:v>25085.423</x:v>
      </x:c>
      <x:c r="D66" s="23" t="str"/>
      <x:c r="E66" s="23" t="str">
        <x:v>Not started</x:v>
      </x:c>
      <x:c r="F66" s="24" t="str"/>
      <x:c r="G66" s="2" t="str">
        <x:f>IF(E66="Reviewed",IF(AND(D66&lt;&gt;"",F66&lt;&gt;""),"Complete","Add owner and note"),IF(D66="","Assign owner","Review period"))</x:f>
        <x:v>Assign owner</x:v>
      </x:c>
    </x:row>
    <x:row r="67" ht="30" customHeight="1">
      <x:c r="A67" s="22" t="str">
        <x:v>2016-09</x:v>
      </x:c>
      <x:c r="B67" s="2" t="str">
        <x:v>Office Supplies</x:v>
      </x:c>
      <x:c r="C67" s="5" t="n">
        <x:v>19031.055</x:v>
      </x:c>
      <x:c r="D67" s="23" t="str"/>
      <x:c r="E67" s="23" t="str">
        <x:v>Not started</x:v>
      </x:c>
      <x:c r="F67" s="24" t="str"/>
      <x:c r="G67" s="2" t="str">
        <x:f>IF(E67="Reviewed",IF(AND(D67&lt;&gt;"",F67&lt;&gt;""),"Complete","Add owner and note"),IF(D67="","Assign owner","Review period"))</x:f>
        <x:v>Assign owner</x:v>
      </x:c>
    </x:row>
    <x:row r="68" ht="30" customHeight="1">
      <x:c r="A68" s="22" t="str">
        <x:v>2016-09</x:v>
      </x:c>
      <x:c r="B68" s="2" t="str">
        <x:v>Technology</x:v>
      </x:c>
      <x:c r="C68" s="5" t="n">
        <x:v>19017.128</x:v>
      </x:c>
      <x:c r="D68" s="23" t="str"/>
      <x:c r="E68" s="23" t="str">
        <x:v>Not started</x:v>
      </x:c>
      <x:c r="F68" s="24" t="str"/>
      <x:c r="G68" s="2" t="str">
        <x:f>IF(E68="Reviewed",IF(AND(D68&lt;&gt;"",F68&lt;&gt;""),"Complete","Add owner and note"),IF(D68="","Assign owner","Review period"))</x:f>
        <x:v>Assign owner</x:v>
      </x:c>
    </x:row>
    <x:row r="69" ht="30" customHeight="1">
      <x:c r="A69" s="22" t="str">
        <x:v>2016-10</x:v>
      </x:c>
      <x:c r="B69" s="2" t="str">
        <x:v>Furniture</x:v>
      </x:c>
      <x:c r="C69" s="5" t="n">
        <x:v>11664.4875</x:v>
      </x:c>
      <x:c r="D69" s="23" t="str"/>
      <x:c r="E69" s="23" t="str">
        <x:v>Not started</x:v>
      </x:c>
      <x:c r="F69" s="24" t="str"/>
      <x:c r="G69" s="2" t="str">
        <x:f>IF(E69="Reviewed",IF(AND(D69&lt;&gt;"",F69&lt;&gt;""),"Complete","Add owner and note"),IF(D69="","Assign owner","Review period"))</x:f>
        <x:v>Assign owner</x:v>
      </x:c>
    </x:row>
    <x:row r="70" ht="30" customHeight="1">
      <x:c r="A70" s="22" t="str">
        <x:v>2016-10</x:v>
      </x:c>
      <x:c r="B70" s="2" t="str">
        <x:v>Office Supplies</x:v>
      </x:c>
      <x:c r="C70" s="5" t="n">
        <x:v>8642.36</x:v>
      </x:c>
      <x:c r="D70" s="23" t="str"/>
      <x:c r="E70" s="23" t="str">
        <x:v>Not started</x:v>
      </x:c>
      <x:c r="F70" s="24" t="str"/>
      <x:c r="G70" s="2" t="str">
        <x:f>IF(E70="Reviewed",IF(AND(D70&lt;&gt;"",F70&lt;&gt;""),"Complete","Add owner and note"),IF(D70="","Assign owner","Review period"))</x:f>
        <x:v>Assign owner</x:v>
      </x:c>
    </x:row>
    <x:row r="71" ht="30" customHeight="1">
      <x:c r="A71" s="22" t="str">
        <x:v>2016-10</x:v>
      </x:c>
      <x:c r="B71" s="2" t="str">
        <x:v>Technology</x:v>
      </x:c>
      <x:c r="C71" s="5" t="n">
        <x:v>10704.89</x:v>
      </x:c>
      <x:c r="D71" s="23" t="str"/>
      <x:c r="E71" s="23" t="str">
        <x:v>Not started</x:v>
      </x:c>
      <x:c r="F71" s="24" t="str"/>
      <x:c r="G71" s="2" t="str">
        <x:f>IF(E71="Reviewed",IF(AND(D71&lt;&gt;"",F71&lt;&gt;""),"Complete","Add owner and note"),IF(D71="","Assign owner","Review period"))</x:f>
        <x:v>Assign owner</x:v>
      </x:c>
    </x:row>
    <x:row r="72" ht="30" customHeight="1">
      <x:c r="A72" s="22" t="str">
        <x:v>2016-11</x:v>
      </x:c>
      <x:c r="B72" s="2" t="str">
        <x:v>Furniture</x:v>
      </x:c>
      <x:c r="C72" s="5" t="n">
        <x:v>30197.5005</x:v>
      </x:c>
      <x:c r="D72" s="23" t="str"/>
      <x:c r="E72" s="23" t="str">
        <x:v>Not started</x:v>
      </x:c>
      <x:c r="F72" s="24" t="str"/>
      <x:c r="G72" s="2" t="str">
        <x:f>IF(E72="Reviewed",IF(AND(D72&lt;&gt;"",F72&lt;&gt;""),"Complete","Add owner and note"),IF(D72="","Assign owner","Review period"))</x:f>
        <x:v>Assign owner</x:v>
      </x:c>
    </x:row>
    <x:row r="73" ht="30" customHeight="1">
      <x:c r="A73" s="22" t="str">
        <x:v>2016-11</x:v>
      </x:c>
      <x:c r="B73" s="2" t="str">
        <x:v>Office Supplies</x:v>
      </x:c>
      <x:c r="C73" s="5" t="n">
        <x:v>21178.298</x:v>
      </x:c>
      <x:c r="D73" s="23" t="str"/>
      <x:c r="E73" s="23" t="str">
        <x:v>Not started</x:v>
      </x:c>
      <x:c r="F73" s="24" t="str"/>
      <x:c r="G73" s="2" t="str">
        <x:f>IF(E73="Reviewed",IF(AND(D73&lt;&gt;"",F73&lt;&gt;""),"Complete","Add owner and note"),IF(D73="","Assign owner","Review period"))</x:f>
        <x:v>Assign owner</x:v>
      </x:c>
    </x:row>
    <x:row r="74" ht="30" customHeight="1">
      <x:c r="A74" s="22" t="str">
        <x:v>2016-11</x:v>
      </x:c>
      <x:c r="B74" s="2" t="str">
        <x:v>Technology</x:v>
      </x:c>
      <x:c r="C74" s="5" t="n">
        <x:v>23873.601</x:v>
      </x:c>
      <x:c r="D74" s="23" t="str"/>
      <x:c r="E74" s="23" t="str">
        <x:v>Not started</x:v>
      </x:c>
      <x:c r="F74" s="24" t="str"/>
      <x:c r="G74" s="2" t="str">
        <x:f>IF(E74="Reviewed",IF(AND(D74&lt;&gt;"",F74&lt;&gt;""),"Complete","Add owner and note"),IF(D74="","Assign owner","Review period"))</x:f>
        <x:v>Assign owner</x:v>
      </x:c>
    </x:row>
    <x:row r="75" ht="30" customHeight="1">
      <x:c r="A75" s="22" t="str">
        <x:v>2016-12</x:v>
      </x:c>
      <x:c r="B75" s="2" t="str">
        <x:v>Furniture</x:v>
      </x:c>
      <x:c r="C75" s="5" t="n">
        <x:v>22812.2512</x:v>
      </x:c>
      <x:c r="D75" s="23" t="str"/>
      <x:c r="E75" s="23" t="str">
        <x:v>Not started</x:v>
      </x:c>
      <x:c r="F75" s="24" t="str"/>
      <x:c r="G75" s="2" t="str">
        <x:f>IF(E75="Reviewed",IF(AND(D75&lt;&gt;"",F75&lt;&gt;""),"Complete","Add owner and note"),IF(D75="","Assign owner","Review period"))</x:f>
        <x:v>Assign owner</x:v>
      </x:c>
    </x:row>
    <x:row r="76" ht="30" customHeight="1">
      <x:c r="A76" s="22" t="str">
        <x:v>2016-12</x:v>
      </x:c>
      <x:c r="B76" s="2" t="str">
        <x:v>Office Supplies</x:v>
      </x:c>
      <x:c r="C76" s="5" t="n">
        <x:v>16099.322</x:v>
      </x:c>
      <x:c r="D76" s="23" t="str"/>
      <x:c r="E76" s="23" t="str">
        <x:v>Not started</x:v>
      </x:c>
      <x:c r="F76" s="24" t="str"/>
      <x:c r="G76" s="2" t="str">
        <x:f>IF(E76="Reviewed",IF(AND(D76&lt;&gt;"",F76&lt;&gt;""),"Complete","Add owner and note"),IF(D76="","Assign owner","Review period"))</x:f>
        <x:v>Assign owner</x:v>
      </x:c>
    </x:row>
    <x:row r="77" ht="30" customHeight="1">
      <x:c r="A77" s="22" t="str">
        <x:v>2016-12</x:v>
      </x:c>
      <x:c r="B77" s="2" t="str">
        <x:v>Technology</x:v>
      </x:c>
      <x:c r="C77" s="5" t="n">
        <x:v>35632.028</x:v>
      </x:c>
      <x:c r="D77" s="23" t="str"/>
      <x:c r="E77" s="23" t="str">
        <x:v>Not started</x:v>
      </x:c>
      <x:c r="F77" s="24" t="str"/>
      <x:c r="G77" s="2" t="str">
        <x:f>IF(E77="Reviewed",IF(AND(D77&lt;&gt;"",F77&lt;&gt;""),"Complete","Add owner and note"),IF(D77="","Assign owner","Review period"))</x:f>
        <x:v>Assign owner</x:v>
      </x:c>
    </x:row>
    <x:row r="78" ht="30" customHeight="1">
      <x:c r="A78" s="22" t="str">
        <x:v>2017-01</x:v>
      </x:c>
      <x:c r="B78" s="2" t="str">
        <x:v>Furniture</x:v>
      </x:c>
      <x:c r="C78" s="5" t="n">
        <x:v>7622.743</x:v>
      </x:c>
      <x:c r="D78" s="23" t="str"/>
      <x:c r="E78" s="23" t="str">
        <x:v>Not started</x:v>
      </x:c>
      <x:c r="F78" s="24" t="str"/>
      <x:c r="G78" s="2" t="str">
        <x:f>IF(E78="Reviewed",IF(AND(D78&lt;&gt;"",F78&lt;&gt;""),"Complete","Add owner and note"),IF(D78="","Assign owner","Review period"))</x:f>
        <x:v>Assign owner</x:v>
      </x:c>
    </x:row>
    <x:row r="79" ht="30" customHeight="1">
      <x:c r="A79" s="22" t="str">
        <x:v>2017-01</x:v>
      </x:c>
      <x:c r="B79" s="2" t="str">
        <x:v>Office Supplies</x:v>
      </x:c>
      <x:c r="C79" s="5" t="n">
        <x:v>5299.682</x:v>
      </x:c>
      <x:c r="D79" s="23" t="str"/>
      <x:c r="E79" s="23" t="str">
        <x:v>Not started</x:v>
      </x:c>
      <x:c r="F79" s="24" t="str"/>
      <x:c r="G79" s="2" t="str">
        <x:f>IF(E79="Reviewed",IF(AND(D79&lt;&gt;"",F79&lt;&gt;""),"Complete","Add owner and note"),IF(D79="","Assign owner","Review period"))</x:f>
        <x:v>Assign owner</x:v>
      </x:c>
    </x:row>
    <x:row r="80" ht="30" customHeight="1">
      <x:c r="A80" s="22" t="str">
        <x:v>2017-01</x:v>
      </x:c>
      <x:c r="B80" s="2" t="str">
        <x:v>Technology</x:v>
      </x:c>
      <x:c r="C80" s="5" t="n">
        <x:v>5620.066</x:v>
      </x:c>
      <x:c r="D80" s="23" t="str"/>
      <x:c r="E80" s="23" t="str">
        <x:v>Not started</x:v>
      </x:c>
      <x:c r="F80" s="24" t="str"/>
      <x:c r="G80" s="2" t="str">
        <x:f>IF(E80="Reviewed",IF(AND(D80&lt;&gt;"",F80&lt;&gt;""),"Complete","Add owner and note"),IF(D80="","Assign owner","Review period"))</x:f>
        <x:v>Assign owner</x:v>
      </x:c>
    </x:row>
    <x:row r="81" ht="30" customHeight="1">
      <x:c r="A81" s="22" t="str">
        <x:v>2017-02</x:v>
      </x:c>
      <x:c r="B81" s="2" t="str">
        <x:v>Furniture</x:v>
      </x:c>
      <x:c r="C81" s="5" t="n">
        <x:v>3925.551</x:v>
      </x:c>
      <x:c r="D81" s="23" t="str"/>
      <x:c r="E81" s="23" t="str">
        <x:v>Not started</x:v>
      </x:c>
      <x:c r="F81" s="24" t="str"/>
      <x:c r="G81" s="2" t="str">
        <x:f>IF(E81="Reviewed",IF(AND(D81&lt;&gt;"",F81&lt;&gt;""),"Complete","Add owner and note"),IF(D81="","Assign owner","Review period"))</x:f>
        <x:v>Assign owner</x:v>
      </x:c>
    </x:row>
    <x:row r="82" ht="30" customHeight="1">
      <x:c r="A82" s="22" t="str">
        <x:v>2017-02</x:v>
      </x:c>
      <x:c r="B82" s="2" t="str">
        <x:v>Office Supplies</x:v>
      </x:c>
      <x:c r="C82" s="5" t="n">
        <x:v>6794.35</x:v>
      </x:c>
      <x:c r="D82" s="23" t="str"/>
      <x:c r="E82" s="23" t="str">
        <x:v>Not started</x:v>
      </x:c>
      <x:c r="F82" s="24" t="str"/>
      <x:c r="G82" s="2" t="str">
        <x:f>IF(E82="Reviewed",IF(AND(D82&lt;&gt;"",F82&lt;&gt;""),"Complete","Add owner and note"),IF(D82="","Assign owner","Review period"))</x:f>
        <x:v>Assign owner</x:v>
      </x:c>
    </x:row>
    <x:row r="83" ht="30" customHeight="1">
      <x:c r="A83" s="22" t="str">
        <x:v>2017-02</x:v>
      </x:c>
      <x:c r="B83" s="2" t="str">
        <x:v>Technology</x:v>
      </x:c>
      <x:c r="C83" s="5" t="n">
        <x:v>12258.914</x:v>
      </x:c>
      <x:c r="D83" s="23" t="str"/>
      <x:c r="E83" s="23" t="str">
        <x:v>Not started</x:v>
      </x:c>
      <x:c r="F83" s="24" t="str"/>
      <x:c r="G83" s="2" t="str">
        <x:f>IF(E83="Reviewed",IF(AND(D83&lt;&gt;"",F83&lt;&gt;""),"Complete","Add owner and note"),IF(D83="","Assign owner","Review period"))</x:f>
        <x:v>Assign owner</x:v>
      </x:c>
    </x:row>
    <x:row r="84" ht="30" customHeight="1">
      <x:c r="A84" s="22" t="str">
        <x:v>2017-03</x:v>
      </x:c>
      <x:c r="B84" s="2" t="str">
        <x:v>Furniture</x:v>
      </x:c>
      <x:c r="C84" s="5" t="n">
        <x:v>12272.662</x:v>
      </x:c>
      <x:c r="D84" s="23" t="str"/>
      <x:c r="E84" s="23" t="str">
        <x:v>Not started</x:v>
      </x:c>
      <x:c r="F84" s="24" t="str"/>
      <x:c r="G84" s="2" t="str">
        <x:f>IF(E84="Reviewed",IF(AND(D84&lt;&gt;"",F84&lt;&gt;""),"Complete","Add owner and note"),IF(D84="","Assign owner","Review period"))</x:f>
        <x:v>Assign owner</x:v>
      </x:c>
    </x:row>
    <x:row r="85" ht="30" customHeight="1">
      <x:c r="A85" s="22" t="str">
        <x:v>2017-03</x:v>
      </x:c>
      <x:c r="B85" s="2" t="str">
        <x:v>Office Supplies</x:v>
      </x:c>
      <x:c r="C85" s="5" t="n">
        <x:v>17324.545</x:v>
      </x:c>
      <x:c r="D85" s="23" t="str"/>
      <x:c r="E85" s="23" t="str">
        <x:v>Not started</x:v>
      </x:c>
      <x:c r="F85" s="24" t="str"/>
      <x:c r="G85" s="2" t="str">
        <x:f>IF(E85="Reviewed",IF(AND(D85&lt;&gt;"",F85&lt;&gt;""),"Complete","Add owner and note"),IF(D85="","Assign owner","Review period"))</x:f>
        <x:v>Assign owner</x:v>
      </x:c>
    </x:row>
    <x:row r="86" ht="30" customHeight="1">
      <x:c r="A86" s="22" t="str">
        <x:v>2017-03</x:v>
      </x:c>
      <x:c r="B86" s="2" t="str">
        <x:v>Technology</x:v>
      </x:c>
      <x:c r="C86" s="5" t="n">
        <x:v>21567.852</x:v>
      </x:c>
      <x:c r="D86" s="23" t="str"/>
      <x:c r="E86" s="23" t="str">
        <x:v>Not started</x:v>
      </x:c>
      <x:c r="F86" s="24" t="str"/>
      <x:c r="G86" s="2" t="str">
        <x:f>IF(E86="Reviewed",IF(AND(D86&lt;&gt;"",F86&lt;&gt;""),"Complete","Add owner and note"),IF(D86="","Assign owner","Review period"))</x:f>
        <x:v>Assign owner</x:v>
      </x:c>
    </x:row>
    <x:row r="87" ht="30" customHeight="1">
      <x:c r="A87" s="22" t="str">
        <x:v>2017-04</x:v>
      </x:c>
      <x:c r="B87" s="2" t="str">
        <x:v>Furniture</x:v>
      </x:c>
      <x:c r="C87" s="5" t="n">
        <x:v>13212.09</x:v>
      </x:c>
      <x:c r="D87" s="23" t="str"/>
      <x:c r="E87" s="23" t="str">
        <x:v>Not started</x:v>
      </x:c>
      <x:c r="F87" s="24" t="str"/>
      <x:c r="G87" s="2" t="str">
        <x:f>IF(E87="Reviewed",IF(AND(D87&lt;&gt;"",F87&lt;&gt;""),"Complete","Add owner and note"),IF(D87="","Assign owner","Review period"))</x:f>
        <x:v>Assign owner</x:v>
      </x:c>
    </x:row>
    <x:row r="88" ht="30" customHeight="1">
      <x:c r="A88" s="22" t="str">
        <x:v>2017-04</x:v>
      </x:c>
      <x:c r="B88" s="2" t="str">
        <x:v>Office Supplies</x:v>
      </x:c>
      <x:c r="C88" s="5" t="n">
        <x:v>10577.175</x:v>
      </x:c>
      <x:c r="D88" s="23" t="str"/>
      <x:c r="E88" s="23" t="str">
        <x:v>Not started</x:v>
      </x:c>
      <x:c r="F88" s="24" t="str"/>
      <x:c r="G88" s="2" t="str">
        <x:f>IF(E88="Reviewed",IF(AND(D88&lt;&gt;"",F88&lt;&gt;""),"Complete","Add owner and note"),IF(D88="","Assign owner","Review period"))</x:f>
        <x:v>Assign owner</x:v>
      </x:c>
    </x:row>
    <x:row r="89" ht="30" customHeight="1">
      <x:c r="A89" s="22" t="str">
        <x:v>2017-04</x:v>
      </x:c>
      <x:c r="B89" s="2" t="str">
        <x:v>Technology</x:v>
      </x:c>
      <x:c r="C89" s="5" t="n">
        <x:v>14890.502</x:v>
      </x:c>
      <x:c r="D89" s="23" t="str"/>
      <x:c r="E89" s="23" t="str">
        <x:v>Not started</x:v>
      </x:c>
      <x:c r="F89" s="24" t="str"/>
      <x:c r="G89" s="2" t="str">
        <x:f>IF(E89="Reviewed",IF(AND(D89&lt;&gt;"",F89&lt;&gt;""),"Complete","Add owner and note"),IF(D89="","Assign owner","Review period"))</x:f>
        <x:v>Assign owner</x:v>
      </x:c>
    </x:row>
    <x:row r="90" ht="30" customHeight="1">
      <x:c r="A90" s="22" t="str">
        <x:v>2017-05</x:v>
      </x:c>
      <x:c r="B90" s="2" t="str">
        <x:v>Furniture</x:v>
      </x:c>
      <x:c r="C90" s="5" t="n">
        <x:v>14892.575</x:v>
      </x:c>
      <x:c r="D90" s="23" t="str"/>
      <x:c r="E90" s="23" t="str">
        <x:v>Not started</x:v>
      </x:c>
      <x:c r="F90" s="24" t="str"/>
      <x:c r="G90" s="2" t="str">
        <x:f>IF(E90="Reviewed",IF(AND(D90&lt;&gt;"",F90&lt;&gt;""),"Complete","Add owner and note"),IF(D90="","Assign owner","Review period"))</x:f>
        <x:v>Assign owner</x:v>
      </x:c>
    </x:row>
    <x:row r="91" ht="30" customHeight="1">
      <x:c r="A91" s="22" t="str">
        <x:v>2017-05</x:v>
      </x:c>
      <x:c r="B91" s="2" t="str">
        <x:v>Office Supplies</x:v>
      </x:c>
      <x:c r="C91" s="5" t="n">
        <x:v>12931.642</x:v>
      </x:c>
      <x:c r="D91" s="23" t="str"/>
      <x:c r="E91" s="23" t="str">
        <x:v>Not started</x:v>
      </x:c>
      <x:c r="F91" s="24" t="str"/>
      <x:c r="G91" s="2" t="str">
        <x:f>IF(E91="Reviewed",IF(AND(D91&lt;&gt;"",F91&lt;&gt;""),"Complete","Add owner and note"),IF(D91="","Assign owner","Review period"))</x:f>
        <x:v>Assign owner</x:v>
      </x:c>
    </x:row>
    <x:row r="92" ht="30" customHeight="1">
      <x:c r="A92" s="22" t="str">
        <x:v>2017-05</x:v>
      </x:c>
      <x:c r="B92" s="2" t="str">
        <x:v>Technology</x:v>
      </x:c>
      <x:c r="C92" s="5" t="n">
        <x:v>28832.691</x:v>
      </x:c>
      <x:c r="D92" s="23" t="str"/>
      <x:c r="E92" s="23" t="str">
        <x:v>Not started</x:v>
      </x:c>
      <x:c r="F92" s="24" t="str"/>
      <x:c r="G92" s="2" t="str">
        <x:f>IF(E92="Reviewed",IF(AND(D92&lt;&gt;"",F92&lt;&gt;""),"Complete","Add owner and note"),IF(D92="","Assign owner","Review period"))</x:f>
        <x:v>Assign owner</x:v>
      </x:c>
    </x:row>
    <x:row r="93" ht="30" customHeight="1">
      <x:c r="A93" s="22" t="str">
        <x:v>2017-06</x:v>
      </x:c>
      <x:c r="B93" s="2" t="str">
        <x:v>Furniture</x:v>
      </x:c>
      <x:c r="C93" s="5" t="n">
        <x:v>12450.524</x:v>
      </x:c>
      <x:c r="D93" s="23" t="str"/>
      <x:c r="E93" s="23" t="str">
        <x:v>Not started</x:v>
      </x:c>
      <x:c r="F93" s="24" t="str"/>
      <x:c r="G93" s="2" t="str">
        <x:f>IF(E93="Reviewed",IF(AND(D93&lt;&gt;"",F93&lt;&gt;""),"Complete","Add owner and note"),IF(D93="","Assign owner","Review period"))</x:f>
        <x:v>Assign owner</x:v>
      </x:c>
    </x:row>
    <x:row r="94" ht="30" customHeight="1">
      <x:c r="A94" s="22" t="str">
        <x:v>2017-06</x:v>
      </x:c>
      <x:c r="B94" s="2" t="str">
        <x:v>Office Supplies</x:v>
      </x:c>
      <x:c r="C94" s="5" t="n">
        <x:v>10901.81</x:v>
      </x:c>
      <x:c r="D94" s="23" t="str"/>
      <x:c r="E94" s="23" t="str">
        <x:v>Not started</x:v>
      </x:c>
      <x:c r="F94" s="24" t="str"/>
      <x:c r="G94" s="2" t="str">
        <x:f>IF(E94="Reviewed",IF(AND(D94&lt;&gt;"",F94&lt;&gt;""),"Complete","Add owner and note"),IF(D94="","Assign owner","Review period"))</x:f>
        <x:v>Assign owner</x:v>
      </x:c>
    </x:row>
    <x:row r="95" ht="30" customHeight="1">
      <x:c r="A95" s="22" t="str">
        <x:v>2017-06</x:v>
      </x:c>
      <x:c r="B95" s="2" t="str">
        <x:v>Technology</x:v>
      </x:c>
      <x:c r="C95" s="5" t="n">
        <x:v>16372.152</x:v>
      </x:c>
      <x:c r="D95" s="23" t="str"/>
      <x:c r="E95" s="23" t="str">
        <x:v>Not started</x:v>
      </x:c>
      <x:c r="F95" s="24" t="str"/>
      <x:c r="G95" s="2" t="str">
        <x:f>IF(E95="Reviewed",IF(AND(D95&lt;&gt;"",F95&lt;&gt;""),"Complete","Add owner and note"),IF(D95="","Assign owner","Review period"))</x:f>
        <x:v>Assign owner</x:v>
      </x:c>
    </x:row>
    <x:row r="96" ht="30" customHeight="1">
      <x:c r="A96" s="22" t="str">
        <x:v>2017-07</x:v>
      </x:c>
      <x:c r="B96" s="2" t="str">
        <x:v>Furniture</x:v>
      </x:c>
      <x:c r="C96" s="5" t="n">
        <x:v>12569.759</x:v>
      </x:c>
      <x:c r="D96" s="23" t="str"/>
      <x:c r="E96" s="23" t="str">
        <x:v>Not started</x:v>
      </x:c>
      <x:c r="F96" s="24" t="str"/>
      <x:c r="G96" s="2" t="str">
        <x:f>IF(E96="Reviewed",IF(AND(D96&lt;&gt;"",F96&lt;&gt;""),"Complete","Add owner and note"),IF(D96="","Assign owner","Review period"))</x:f>
        <x:v>Assign owner</x:v>
      </x:c>
    </x:row>
    <x:row r="97" ht="30" customHeight="1">
      <x:c r="A97" s="22" t="str">
        <x:v>2017-07</x:v>
      </x:c>
      <x:c r="B97" s="2" t="str">
        <x:v>Office Supplies</x:v>
      </x:c>
      <x:c r="C97" s="5" t="n">
        <x:v>12903.824</x:v>
      </x:c>
      <x:c r="D97" s="23" t="str"/>
      <x:c r="E97" s="23" t="str">
        <x:v>Not started</x:v>
      </x:c>
      <x:c r="F97" s="24" t="str"/>
      <x:c r="G97" s="2" t="str">
        <x:f>IF(E97="Reviewed",IF(AND(D97&lt;&gt;"",F97&lt;&gt;""),"Complete","Add owner and note"),IF(D97="","Assign owner","Review period"))</x:f>
        <x:v>Assign owner</x:v>
      </x:c>
    </x:row>
    <x:row r="98" ht="30" customHeight="1">
      <x:c r="A98" s="22" t="str">
        <x:v>2017-07</x:v>
      </x:c>
      <x:c r="B98" s="2" t="str">
        <x:v>Technology</x:v>
      </x:c>
      <x:c r="C98" s="5" t="n">
        <x:v>12847.2</x:v>
      </x:c>
      <x:c r="D98" s="23" t="str"/>
      <x:c r="E98" s="23" t="str">
        <x:v>Not started</x:v>
      </x:c>
      <x:c r="F98" s="24" t="str"/>
      <x:c r="G98" s="2" t="str">
        <x:f>IF(E98="Reviewed",IF(AND(D98&lt;&gt;"",F98&lt;&gt;""),"Complete","Add owner and note"),IF(D98="","Assign owner","Review period"))</x:f>
        <x:v>Assign owner</x:v>
      </x:c>
    </x:row>
    <x:row r="99" ht="30" customHeight="1">
      <x:c r="A99" s="22" t="str">
        <x:v>2017-08</x:v>
      </x:c>
      <x:c r="B99" s="2" t="str">
        <x:v>Furniture</x:v>
      </x:c>
      <x:c r="C99" s="5" t="n">
        <x:v>11910.0583</x:v>
      </x:c>
      <x:c r="D99" s="23" t="str"/>
      <x:c r="E99" s="23" t="str">
        <x:v>Not started</x:v>
      </x:c>
      <x:c r="F99" s="24" t="str"/>
      <x:c r="G99" s="2" t="str">
        <x:f>IF(E99="Reviewed",IF(AND(D99&lt;&gt;"",F99&lt;&gt;""),"Complete","Add owner and note"),IF(D99="","Assign owner","Review period"))</x:f>
        <x:v>Assign owner</x:v>
      </x:c>
    </x:row>
    <x:row r="100" ht="30" customHeight="1">
      <x:c r="A100" s="22" t="str">
        <x:v>2017-08</x:v>
      </x:c>
      <x:c r="B100" s="2" t="str">
        <x:v>Office Supplies</x:v>
      </x:c>
      <x:c r="C100" s="5" t="n">
        <x:v>8959.74</x:v>
      </x:c>
      <x:c r="D100" s="23" t="str"/>
      <x:c r="E100" s="23" t="str">
        <x:v>Not started</x:v>
      </x:c>
      <x:c r="F100" s="24" t="str"/>
      <x:c r="G100" s="2" t="str">
        <x:f>IF(E100="Reviewed",IF(AND(D100&lt;&gt;"",F100&lt;&gt;""),"Complete","Add owner and note"),IF(D100="","Assign owner","Review period"))</x:f>
        <x:v>Assign owner</x:v>
      </x:c>
    </x:row>
    <x:row r="101" ht="30" customHeight="1">
      <x:c r="A101" s="22" t="str">
        <x:v>2017-08</x:v>
      </x:c>
      <x:c r="B101" s="2" t="str">
        <x:v>Technology</x:v>
      </x:c>
      <x:c r="C101" s="5" t="n">
        <x:v>9672.402</x:v>
      </x:c>
      <x:c r="D101" s="23" t="str"/>
      <x:c r="E101" s="23" t="str">
        <x:v>Not started</x:v>
      </x:c>
      <x:c r="F101" s="24" t="str"/>
      <x:c r="G101" s="2" t="str">
        <x:f>IF(E101="Reviewed",IF(AND(D101&lt;&gt;"",F101&lt;&gt;""),"Complete","Add owner and note"),IF(D101="","Assign owner","Review period"))</x:f>
        <x:v>Assign owner</x:v>
      </x:c>
    </x:row>
    <x:row r="102" ht="30" customHeight="1">
      <x:c r="A102" s="22" t="str">
        <x:v>2017-09</x:v>
      </x:c>
      <x:c r="B102" s="2" t="str">
        <x:v>Furniture</x:v>
      </x:c>
      <x:c r="C102" s="5" t="n">
        <x:v>26755.4749</x:v>
      </x:c>
      <x:c r="D102" s="23" t="str"/>
      <x:c r="E102" s="23" t="str">
        <x:v>Not started</x:v>
      </x:c>
      <x:c r="F102" s="24" t="str"/>
      <x:c r="G102" s="2" t="str">
        <x:f>IF(E102="Reviewed",IF(AND(D102&lt;&gt;"",F102&lt;&gt;""),"Complete","Add owner and note"),IF(D102="","Assign owner","Review period"))</x:f>
        <x:v>Assign owner</x:v>
      </x:c>
    </x:row>
    <x:row r="103" ht="30" customHeight="1">
      <x:c r="A103" s="22" t="str">
        <x:v>2017-09</x:v>
      </x:c>
      <x:c r="B103" s="2" t="str">
        <x:v>Office Supplies</x:v>
      </x:c>
      <x:c r="C103" s="5" t="n">
        <x:v>23013.402</x:v>
      </x:c>
      <x:c r="D103" s="23" t="str"/>
      <x:c r="E103" s="23" t="str">
        <x:v>Not started</x:v>
      </x:c>
      <x:c r="F103" s="24" t="str"/>
      <x:c r="G103" s="2" t="str">
        <x:f>IF(E103="Reviewed",IF(AND(D103&lt;&gt;"",F103&lt;&gt;""),"Complete","Add owner and note"),IF(D103="","Assign owner","Review period"))</x:f>
        <x:v>Assign owner</x:v>
      </x:c>
    </x:row>
    <x:row r="104" ht="30" customHeight="1">
      <x:c r="A104" s="22" t="str">
        <x:v>2017-09</x:v>
      </x:c>
      <x:c r="B104" s="2" t="str">
        <x:v>Technology</x:v>
      </x:c>
      <x:c r="C104" s="5" t="n">
        <x:v>19424.514</x:v>
      </x:c>
      <x:c r="D104" s="23" t="str"/>
      <x:c r="E104" s="23" t="str">
        <x:v>Not started</x:v>
      </x:c>
      <x:c r="F104" s="24" t="str"/>
      <x:c r="G104" s="2" t="str">
        <x:f>IF(E104="Reviewed",IF(AND(D104&lt;&gt;"",F104&lt;&gt;""),"Complete","Add owner and note"),IF(D104="","Assign owner","Review period"))</x:f>
        <x:v>Assign owner</x:v>
      </x:c>
    </x:row>
    <x:row r="105" ht="30" customHeight="1">
      <x:c r="A105" s="22" t="str">
        <x:v>2017-10</x:v>
      </x:c>
      <x:c r="B105" s="2" t="str">
        <x:v>Furniture</x:v>
      </x:c>
      <x:c r="C105" s="5" t="n">
        <x:v>11813.009</x:v>
      </x:c>
      <x:c r="D105" s="23" t="str"/>
      <x:c r="E105" s="23" t="str">
        <x:v>Not started</x:v>
      </x:c>
      <x:c r="F105" s="24" t="str"/>
      <x:c r="G105" s="2" t="str">
        <x:f>IF(E105="Reviewed",IF(AND(D105&lt;&gt;"",F105&lt;&gt;""),"Complete","Add owner and note"),IF(D105="","Assign owner","Review period"))</x:f>
        <x:v>Assign owner</x:v>
      </x:c>
    </x:row>
    <x:row r="106" ht="30" customHeight="1">
      <x:c r="A106" s="22" t="str">
        <x:v>2017-10</x:v>
      </x:c>
      <x:c r="B106" s="2" t="str">
        <x:v>Office Supplies</x:v>
      </x:c>
      <x:c r="C106" s="5" t="n">
        <x:v>16236.65</x:v>
      </x:c>
      <x:c r="D106" s="23" t="str"/>
      <x:c r="E106" s="23" t="str">
        <x:v>Not started</x:v>
      </x:c>
      <x:c r="F106" s="24" t="str"/>
      <x:c r="G106" s="2" t="str">
        <x:f>IF(E106="Reviewed",IF(AND(D106&lt;&gt;"",F106&lt;&gt;""),"Complete","Add owner and note"),IF(D106="","Assign owner","Review period"))</x:f>
        <x:v>Assign owner</x:v>
      </x:c>
    </x:row>
    <x:row r="107" ht="30" customHeight="1">
      <x:c r="A107" s="22" t="str">
        <x:v>2017-10</x:v>
      </x:c>
      <x:c r="B107" s="2" t="str">
        <x:v>Technology</x:v>
      </x:c>
      <x:c r="C107" s="5" t="n">
        <x:v>31533.374</x:v>
      </x:c>
      <x:c r="D107" s="23" t="str"/>
      <x:c r="E107" s="23" t="str">
        <x:v>Not started</x:v>
      </x:c>
      <x:c r="F107" s="24" t="str"/>
      <x:c r="G107" s="2" t="str">
        <x:f>IF(E107="Reviewed",IF(AND(D107&lt;&gt;"",F107&lt;&gt;""),"Complete","Add owner and note"),IF(D107="","Assign owner","Review period"))</x:f>
        <x:v>Assign owner</x:v>
      </x:c>
    </x:row>
    <x:row r="108" ht="30" customHeight="1">
      <x:c r="A108" s="22" t="str">
        <x:v>2017-11</x:v>
      </x:c>
      <x:c r="B108" s="2" t="str">
        <x:v>Furniture</x:v>
      </x:c>
      <x:c r="C108" s="5" t="n">
        <x:v>31783.6288</x:v>
      </x:c>
      <x:c r="D108" s="23" t="str"/>
      <x:c r="E108" s="23" t="str">
        <x:v>Not started</x:v>
      </x:c>
      <x:c r="F108" s="24" t="str"/>
      <x:c r="G108" s="2" t="str">
        <x:f>IF(E108="Reviewed",IF(AND(D108&lt;&gt;"",F108&lt;&gt;""),"Complete","Add owner and note"),IF(D108="","Assign owner","Review period"))</x:f>
        <x:v>Assign owner</x:v>
      </x:c>
    </x:row>
    <x:row r="109" ht="30" customHeight="1">
      <x:c r="A109" s="22" t="str">
        <x:v>2017-11</x:v>
      </x:c>
      <x:c r="B109" s="2" t="str">
        <x:v>Office Supplies</x:v>
      </x:c>
      <x:c r="C109" s="5" t="n">
        <x:v>20141.808</x:v>
      </x:c>
      <x:c r="D109" s="23" t="str"/>
      <x:c r="E109" s="23" t="str">
        <x:v>Not started</x:v>
      </x:c>
      <x:c r="F109" s="24" t="str"/>
      <x:c r="G109" s="2" t="str">
        <x:f>IF(E109="Reviewed",IF(AND(D109&lt;&gt;"",F109&lt;&gt;""),"Complete","Add owner and note"),IF(D109="","Assign owner","Review period"))</x:f>
        <x:v>Assign owner</x:v>
      </x:c>
    </x:row>
    <x:row r="110" ht="30" customHeight="1">
      <x:c r="A110" s="22" t="str">
        <x:v>2017-11</x:v>
      </x:c>
      <x:c r="B110" s="2" t="str">
        <x:v>Technology</x:v>
      </x:c>
      <x:c r="C110" s="5" t="n">
        <x:v>27141.059</x:v>
      </x:c>
      <x:c r="D110" s="23" t="str"/>
      <x:c r="E110" s="23" t="str">
        <x:v>Not started</x:v>
      </x:c>
      <x:c r="F110" s="24" t="str"/>
      <x:c r="G110" s="2" t="str">
        <x:f>IF(E110="Reviewed",IF(AND(D110&lt;&gt;"",F110&lt;&gt;""),"Complete","Add owner and note"),IF(D110="","Assign owner","Review period"))</x:f>
        <x:v>Assign owner</x:v>
      </x:c>
    </x:row>
    <x:row r="111" ht="30" customHeight="1">
      <x:c r="A111" s="22" t="str">
        <x:v>2017-12</x:v>
      </x:c>
      <x:c r="B111" s="2" t="str">
        <x:v>Furniture</x:v>
      </x:c>
      <x:c r="C111" s="5" t="n">
        <x:v>36604.965</x:v>
      </x:c>
      <x:c r="D111" s="23" t="str"/>
      <x:c r="E111" s="23" t="str">
        <x:v>Not started</x:v>
      </x:c>
      <x:c r="F111" s="24" t="str"/>
      <x:c r="G111" s="2" t="str">
        <x:f>IF(E111="Reviewed",IF(AND(D111&lt;&gt;"",F111&lt;&gt;""),"Complete","Add owner and note"),IF(D111="","Assign owner","Review period"))</x:f>
        <x:v>Assign owner</x:v>
      </x:c>
    </x:row>
    <x:row r="112" ht="30" customHeight="1">
      <x:c r="A112" s="22" t="str">
        <x:v>2017-12</x:v>
      </x:c>
      <x:c r="B112" s="2" t="str">
        <x:v>Office Supplies</x:v>
      </x:c>
      <x:c r="C112" s="5" t="n">
        <x:v>37332.938</x:v>
      </x:c>
      <x:c r="D112" s="23" t="str"/>
      <x:c r="E112" s="23" t="str">
        <x:v>Not started</x:v>
      </x:c>
      <x:c r="F112" s="24" t="str"/>
      <x:c r="G112" s="2" t="str">
        <x:f>IF(E112="Reviewed",IF(AND(D112&lt;&gt;"",F112&lt;&gt;""),"Complete","Add owner and note"),IF(D112="","Assign owner","Review period"))</x:f>
        <x:v>Assign owner</x:v>
      </x:c>
    </x:row>
    <x:row r="113" ht="30" customHeight="1">
      <x:c r="A113" s="22" t="str">
        <x:v>2017-12</x:v>
      </x:c>
      <x:c r="B113" s="2" t="str">
        <x:v>Technology</x:v>
      </x:c>
      <x:c r="C113" s="5" t="n">
        <x:v>21801.218</x:v>
      </x:c>
      <x:c r="D113" s="23" t="str"/>
      <x:c r="E113" s="23" t="str">
        <x:v>Not started</x:v>
      </x:c>
      <x:c r="F113" s="24" t="str"/>
      <x:c r="G113" s="2" t="str">
        <x:f>IF(E113="Reviewed",IF(AND(D113&lt;&gt;"",F113&lt;&gt;""),"Complete","Add owner and note"),IF(D113="","Assign owner","Review period"))</x:f>
        <x:v>Assign owner</x:v>
      </x:c>
    </x:row>
    <x:row r="114" ht="30" customHeight="1">
      <x:c r="A114" s="22" t="str">
        <x:v>2018-01</x:v>
      </x:c>
      <x:c r="B114" s="2" t="str">
        <x:v>Furniture</x:v>
      </x:c>
      <x:c r="C114" s="5" t="n">
        <x:v>5930.162</x:v>
      </x:c>
      <x:c r="D114" s="23" t="str"/>
      <x:c r="E114" s="23" t="str">
        <x:v>Not started</x:v>
      </x:c>
      <x:c r="F114" s="24" t="str"/>
      <x:c r="G114" s="2" t="str">
        <x:f>IF(E114="Reviewed",IF(AND(D114&lt;&gt;"",F114&lt;&gt;""),"Complete","Add owner and note"),IF(D114="","Assign owner","Review period"))</x:f>
        <x:v>Assign owner</x:v>
      </x:c>
    </x:row>
    <x:row r="115" ht="30" customHeight="1">
      <x:c r="A115" s="22" t="str">
        <x:v>2018-01</x:v>
      </x:c>
      <x:c r="B115" s="2" t="str">
        <x:v>Office Supplies</x:v>
      </x:c>
      <x:c r="C115" s="5" t="n">
        <x:v>21052.979</x:v>
      </x:c>
      <x:c r="D115" s="23" t="str"/>
      <x:c r="E115" s="23" t="str">
        <x:v>Not started</x:v>
      </x:c>
      <x:c r="F115" s="24" t="str"/>
      <x:c r="G115" s="2" t="str">
        <x:f>IF(E115="Reviewed",IF(AND(D115&lt;&gt;"",F115&lt;&gt;""),"Complete","Add owner and note"),IF(D115="","Assign owner","Review period"))</x:f>
        <x:v>Assign owner</x:v>
      </x:c>
    </x:row>
    <x:row r="116" ht="30" customHeight="1">
      <x:c r="A116" s="22" t="str">
        <x:v>2018-01</x:v>
      </x:c>
      <x:c r="B116" s="2" t="str">
        <x:v>Technology</x:v>
      </x:c>
      <x:c r="C116" s="5" t="n">
        <x:v>16493.333</x:v>
      </x:c>
      <x:c r="D116" s="23" t="str"/>
      <x:c r="E116" s="23" t="str">
        <x:v>Not started</x:v>
      </x:c>
      <x:c r="F116" s="24" t="str"/>
      <x:c r="G116" s="2" t="str">
        <x:f>IF(E116="Reviewed",IF(AND(D116&lt;&gt;"",F116&lt;&gt;""),"Complete","Add owner and note"),IF(D116="","Assign owner","Review period"))</x:f>
        <x:v>Assign owner</x:v>
      </x:c>
    </x:row>
    <x:row r="117" ht="30" customHeight="1">
      <x:c r="A117" s="22" t="str">
        <x:v>2018-02</x:v>
      </x:c>
      <x:c r="B117" s="2" t="str">
        <x:v>Furniture</x:v>
      </x:c>
      <x:c r="C117" s="5" t="n">
        <x:v>6774.3774</x:v>
      </x:c>
      <x:c r="D117" s="23" t="str"/>
      <x:c r="E117" s="23" t="str">
        <x:v>Not started</x:v>
      </x:c>
      <x:c r="F117" s="24" t="str"/>
      <x:c r="G117" s="2" t="str">
        <x:f>IF(E117="Reviewed",IF(AND(D117&lt;&gt;"",F117&lt;&gt;""),"Complete","Add owner and note"),IF(D117="","Assign owner","Review period"))</x:f>
        <x:v>Assign owner</x:v>
      </x:c>
    </x:row>
    <x:row r="118" ht="30" customHeight="1">
      <x:c r="A118" s="22" t="str">
        <x:v>2018-02</x:v>
      </x:c>
      <x:c r="B118" s="2" t="str">
        <x:v>Office Supplies</x:v>
      </x:c>
      <x:c r="C118" s="5" t="n">
        <x:v>7378.172</x:v>
      </x:c>
      <x:c r="D118" s="23" t="str"/>
      <x:c r="E118" s="23" t="str">
        <x:v>Not started</x:v>
      </x:c>
      <x:c r="F118" s="24" t="str"/>
      <x:c r="G118" s="2" t="str">
        <x:f>IF(E118="Reviewed",IF(AND(D118&lt;&gt;"",F118&lt;&gt;""),"Complete","Add owner and note"),IF(D118="","Assign owner","Review period"))</x:f>
        <x:v>Assign owner</x:v>
      </x:c>
    </x:row>
    <x:row r="119" ht="30" customHeight="1">
      <x:c r="A119" s="22" t="str">
        <x:v>2018-02</x:v>
      </x:c>
      <x:c r="B119" s="2" t="str">
        <x:v>Technology</x:v>
      </x:c>
      <x:c r="C119" s="5" t="n">
        <x:v>5768.448</x:v>
      </x:c>
      <x:c r="D119" s="23" t="str"/>
      <x:c r="E119" s="23" t="str">
        <x:v>Not started</x:v>
      </x:c>
      <x:c r="F119" s="24" t="str"/>
      <x:c r="G119" s="2" t="str">
        <x:f>IF(E119="Reviewed",IF(AND(D119&lt;&gt;"",F119&lt;&gt;""),"Complete","Add owner and note"),IF(D119="","Assign owner","Review period"))</x:f>
        <x:v>Assign owner</x:v>
      </x:c>
    </x:row>
    <x:row r="120" ht="30" customHeight="1">
      <x:c r="A120" s="22" t="str">
        <x:v>2018-03</x:v>
      </x:c>
      <x:c r="B120" s="2" t="str">
        <x:v>Furniture</x:v>
      </x:c>
      <x:c r="C120" s="5" t="n">
        <x:v>10893.4448</x:v>
      </x:c>
      <x:c r="D120" s="23" t="str"/>
      <x:c r="E120" s="23" t="str">
        <x:v>Not started</x:v>
      </x:c>
      <x:c r="F120" s="24" t="str"/>
      <x:c r="G120" s="2" t="str">
        <x:f>IF(E120="Reviewed",IF(AND(D120&lt;&gt;"",F120&lt;&gt;""),"Complete","Add owner and note"),IF(D120="","Assign owner","Review period"))</x:f>
        <x:v>Assign owner</x:v>
      </x:c>
    </x:row>
    <x:row r="121" ht="30" customHeight="1">
      <x:c r="A121" s="22" t="str">
        <x:v>2018-03</x:v>
      </x:c>
      <x:c r="B121" s="2" t="str">
        <x:v>Office Supplies</x:v>
      </x:c>
      <x:c r="C121" s="5" t="n">
        <x:v>14541.346</x:v>
      </x:c>
      <x:c r="D121" s="23" t="str"/>
      <x:c r="E121" s="23" t="str">
        <x:v>Not started</x:v>
      </x:c>
      <x:c r="F121" s="24" t="str"/>
      <x:c r="G121" s="2" t="str">
        <x:f>IF(E121="Reviewed",IF(AND(D121&lt;&gt;"",F121&lt;&gt;""),"Complete","Add owner and note"),IF(D121="","Assign owner","Review period"))</x:f>
        <x:v>Assign owner</x:v>
      </x:c>
    </x:row>
    <x:row r="122" ht="30" customHeight="1">
      <x:c r="A122" s="22" t="str">
        <x:v>2018-03</x:v>
      </x:c>
      <x:c r="B122" s="2" t="str">
        <x:v>Technology</x:v>
      </x:c>
      <x:c r="C122" s="5" t="n">
        <x:v>33428.622</x:v>
      </x:c>
      <x:c r="D122" s="23" t="str"/>
      <x:c r="E122" s="23" t="str">
        <x:v>Not started</x:v>
      </x:c>
      <x:c r="F122" s="24" t="str"/>
      <x:c r="G122" s="2" t="str">
        <x:f>IF(E122="Reviewed",IF(AND(D122&lt;&gt;"",F122&lt;&gt;""),"Complete","Add owner and note"),IF(D122="","Assign owner","Review period"))</x:f>
        <x:v>Assign owner</x:v>
      </x:c>
    </x:row>
    <x:row r="123" ht="30" customHeight="1">
      <x:c r="A123" s="22" t="str">
        <x:v>2018-04</x:v>
      </x:c>
      <x:c r="B123" s="2" t="str">
        <x:v>Furniture</x:v>
      </x:c>
      <x:c r="C123" s="5" t="n">
        <x:v>9065.9581</x:v>
      </x:c>
      <x:c r="D123" s="23" t="str"/>
      <x:c r="E123" s="23" t="str">
        <x:v>Not started</x:v>
      </x:c>
      <x:c r="F123" s="24" t="str"/>
      <x:c r="G123" s="2" t="str">
        <x:f>IF(E123="Reviewed",IF(AND(D123&lt;&gt;"",F123&lt;&gt;""),"Complete","Add owner and note"),IF(D123="","Assign owner","Review period"))</x:f>
        <x:v>Assign owner</x:v>
      </x:c>
    </x:row>
    <x:row r="124" ht="30" customHeight="1">
      <x:c r="A124" s="22" t="str">
        <x:v>2018-04</x:v>
      </x:c>
      <x:c r="B124" s="2" t="str">
        <x:v>Office Supplies</x:v>
      </x:c>
      <x:c r="C124" s="5" t="n">
        <x:v>14214.947</x:v>
      </x:c>
      <x:c r="D124" s="23" t="str"/>
      <x:c r="E124" s="23" t="str">
        <x:v>Not started</x:v>
      </x:c>
      <x:c r="F124" s="24" t="str"/>
      <x:c r="G124" s="2" t="str">
        <x:f>IF(E124="Reviewed",IF(AND(D124&lt;&gt;"",F124&lt;&gt;""),"Complete","Add owner and note"),IF(D124="","Assign owner","Review period"))</x:f>
        <x:v>Assign owner</x:v>
      </x:c>
    </x:row>
    <x:row r="125" ht="30" customHeight="1">
      <x:c r="A125" s="22" t="str">
        <x:v>2018-04</x:v>
      </x:c>
      <x:c r="B125" s="2" t="str">
        <x:v>Technology</x:v>
      </x:c>
      <x:c r="C125" s="5" t="n">
        <x:v>12261.005</x:v>
      </x:c>
      <x:c r="D125" s="23" t="str"/>
      <x:c r="E125" s="23" t="str">
        <x:v>Not started</x:v>
      </x:c>
      <x:c r="F125" s="24" t="str"/>
      <x:c r="G125" s="2" t="str">
        <x:f>IF(E125="Reviewed",IF(AND(D125&lt;&gt;"",F125&lt;&gt;""),"Complete","Add owner and note"),IF(D125="","Assign owner","Review period"))</x:f>
        <x:v>Assign owner</x:v>
      </x:c>
    </x:row>
    <x:row r="126" ht="30" customHeight="1">
      <x:c r="A126" s="22" t="str">
        <x:v>2018-05</x:v>
      </x:c>
      <x:c r="B126" s="2" t="str">
        <x:v>Furniture</x:v>
      </x:c>
      <x:c r="C126" s="5" t="n">
        <x:v>16957.5582</x:v>
      </x:c>
      <x:c r="D126" s="23" t="str"/>
      <x:c r="E126" s="23" t="str">
        <x:v>Not started</x:v>
      </x:c>
      <x:c r="F126" s="24" t="str"/>
      <x:c r="G126" s="2" t="str">
        <x:f>IF(E126="Reviewed",IF(AND(D126&lt;&gt;"",F126&lt;&gt;""),"Complete","Add owner and note"),IF(D126="","Assign owner","Review period"))</x:f>
        <x:v>Assign owner</x:v>
      </x:c>
    </x:row>
    <x:row r="127" ht="30" customHeight="1">
      <x:c r="A127" s="22" t="str">
        <x:v>2018-05</x:v>
      </x:c>
      <x:c r="B127" s="2" t="str">
        <x:v>Office Supplies</x:v>
      </x:c>
      <x:c r="C127" s="5" t="n">
        <x:v>13493.804</x:v>
      </x:c>
      <x:c r="D127" s="23" t="str"/>
      <x:c r="E127" s="23" t="str">
        <x:v>Not started</x:v>
      </x:c>
      <x:c r="F127" s="24" t="str"/>
      <x:c r="G127" s="2" t="str">
        <x:f>IF(E127="Reviewed",IF(AND(D127&lt;&gt;"",F127&lt;&gt;""),"Complete","Add owner and note"),IF(D127="","Assign owner","Review period"))</x:f>
        <x:v>Assign owner</x:v>
      </x:c>
    </x:row>
    <x:row r="128" ht="30" customHeight="1">
      <x:c r="A128" s="22" t="str">
        <x:v>2018-05</x:v>
      </x:c>
      <x:c r="B128" s="2" t="str">
        <x:v>Technology</x:v>
      </x:c>
      <x:c r="C128" s="5" t="n">
        <x:v>13374.62</x:v>
      </x:c>
      <x:c r="D128" s="23" t="str"/>
      <x:c r="E128" s="23" t="str">
        <x:v>Not started</x:v>
      </x:c>
      <x:c r="F128" s="24" t="str"/>
      <x:c r="G128" s="2" t="str">
        <x:f>IF(E128="Reviewed",IF(AND(D128&lt;&gt;"",F128&lt;&gt;""),"Complete","Add owner and note"),IF(D128="","Assign owner","Review period"))</x:f>
        <x:v>Assign owner</x:v>
      </x:c>
    </x:row>
    <x:row r="129" ht="30" customHeight="1">
      <x:c r="A129" s="22" t="str">
        <x:v>2018-06</x:v>
      </x:c>
      <x:c r="B129" s="2" t="str">
        <x:v>Furniture</x:v>
      </x:c>
      <x:c r="C129" s="5" t="n">
        <x:v>17032.3867</x:v>
      </x:c>
      <x:c r="D129" s="23" t="str"/>
      <x:c r="E129" s="23" t="str">
        <x:v>Not started</x:v>
      </x:c>
      <x:c r="F129" s="24" t="str"/>
      <x:c r="G129" s="2" t="str">
        <x:f>IF(E129="Reviewed",IF(AND(D129&lt;&gt;"",F129&lt;&gt;""),"Complete","Add owner and note"),IF(D129="","Assign owner","Review period"))</x:f>
        <x:v>Assign owner</x:v>
      </x:c>
    </x:row>
    <x:row r="130" ht="30" customHeight="1">
      <x:c r="A130" s="22" t="str">
        <x:v>2018-06</x:v>
      </x:c>
      <x:c r="B130" s="2" t="str">
        <x:v>Office Supplies</x:v>
      </x:c>
      <x:c r="C130" s="5" t="n">
        <x:v>14221.101</x:v>
      </x:c>
      <x:c r="D130" s="23" t="str"/>
      <x:c r="E130" s="23" t="str">
        <x:v>Not started</x:v>
      </x:c>
      <x:c r="F130" s="24" t="str"/>
      <x:c r="G130" s="2" t="str">
        <x:f>IF(E130="Reviewed",IF(AND(D130&lt;&gt;"",F130&lt;&gt;""),"Complete","Add owner and note"),IF(D130="","Assign owner","Review period"))</x:f>
        <x:v>Assign owner</x:v>
      </x:c>
    </x:row>
    <x:row r="131" ht="30" customHeight="1">
      <x:c r="A131" s="22" t="str">
        <x:v>2018-06</x:v>
      </x:c>
      <x:c r="B131" s="2" t="str">
        <x:v>Technology</x:v>
      </x:c>
      <x:c r="C131" s="5" t="n">
        <x:v>16937.24</x:v>
      </x:c>
      <x:c r="D131" s="23" t="str"/>
      <x:c r="E131" s="23" t="str">
        <x:v>Not started</x:v>
      </x:c>
      <x:c r="F131" s="24" t="str"/>
      <x:c r="G131" s="2" t="str">
        <x:f>IF(E131="Reviewed",IF(AND(D131&lt;&gt;"",F131&lt;&gt;""),"Complete","Add owner and note"),IF(D131="","Assign owner","Review period"))</x:f>
        <x:v>Assign owner</x:v>
      </x:c>
    </x:row>
    <x:row r="132" ht="30" customHeight="1">
      <x:c r="A132" s="22" t="str">
        <x:v>2018-07</x:v>
      </x:c>
      <x:c r="B132" s="2" t="str">
        <x:v>Furniture</x:v>
      </x:c>
      <x:c r="C132" s="5" t="n">
        <x:v>11375.822</x:v>
      </x:c>
      <x:c r="D132" s="23" t="str"/>
      <x:c r="E132" s="23" t="str">
        <x:v>Not started</x:v>
      </x:c>
      <x:c r="F132" s="24" t="str"/>
      <x:c r="G132" s="2" t="str">
        <x:f>IF(E132="Reviewed",IF(AND(D132&lt;&gt;"",F132&lt;&gt;""),"Complete","Add owner and note"),IF(D132="","Assign owner","Review period"))</x:f>
        <x:v>Assign owner</x:v>
      </x:c>
    </x:row>
    <x:row r="133" ht="30" customHeight="1">
      <x:c r="A133" s="22" t="str">
        <x:v>2018-07</x:v>
      </x:c>
      <x:c r="B133" s="2" t="str">
        <x:v>Office Supplies</x:v>
      </x:c>
      <x:c r="C133" s="5" t="n">
        <x:v>10239.356</x:v>
      </x:c>
      <x:c r="D133" s="23" t="str"/>
      <x:c r="E133" s="23" t="str">
        <x:v>Not started</x:v>
      </x:c>
      <x:c r="F133" s="24" t="str"/>
      <x:c r="G133" s="2" t="str">
        <x:f>IF(E133="Reviewed",IF(AND(D133&lt;&gt;"",F133&lt;&gt;""),"Complete","Add owner and note"),IF(D133="","Assign owner","Review period"))</x:f>
        <x:v>Assign owner</x:v>
      </x:c>
    </x:row>
    <x:row r="134" ht="30" customHeight="1">
      <x:c r="A134" s="22" t="str">
        <x:v>2018-07</x:v>
      </x:c>
      <x:c r="B134" s="2" t="str">
        <x:v>Technology</x:v>
      </x:c>
      <x:c r="C134" s="5" t="n">
        <x:v>23209.926</x:v>
      </x:c>
      <x:c r="D134" s="23" t="str"/>
      <x:c r="E134" s="23" t="str">
        <x:v>Not started</x:v>
      </x:c>
      <x:c r="F134" s="24" t="str"/>
      <x:c r="G134" s="2" t="str">
        <x:f>IF(E134="Reviewed",IF(AND(D134&lt;&gt;"",F134&lt;&gt;""),"Complete","Add owner and note"),IF(D134="","Assign owner","Review period"))</x:f>
        <x:v>Assign owner</x:v>
      </x:c>
    </x:row>
    <x:row r="135" ht="30" customHeight="1">
      <x:c r="A135" s="22" t="str">
        <x:v>2018-08</x:v>
      </x:c>
      <x:c r="B135" s="2" t="str">
        <x:v>Furniture</x:v>
      </x:c>
      <x:c r="C135" s="5" t="n">
        <x:v>15419.122</x:v>
      </x:c>
      <x:c r="D135" s="23" t="str"/>
      <x:c r="E135" s="23" t="str">
        <x:v>Not started</x:v>
      </x:c>
      <x:c r="F135" s="24" t="str"/>
      <x:c r="G135" s="2" t="str">
        <x:f>IF(E135="Reviewed",IF(AND(D135&lt;&gt;"",F135&lt;&gt;""),"Complete","Add owner and note"),IF(D135="","Assign owner","Review period"))</x:f>
        <x:v>Assign owner</x:v>
      </x:c>
    </x:row>
    <x:row r="136" ht="30" customHeight="1">
      <x:c r="A136" s="22" t="str">
        <x:v>2018-08</x:v>
      </x:c>
      <x:c r="B136" s="2" t="str">
        <x:v>Office Supplies</x:v>
      </x:c>
      <x:c r="C136" s="5" t="n">
        <x:v>29799.564</x:v>
      </x:c>
      <x:c r="D136" s="23" t="str"/>
      <x:c r="E136" s="23" t="str">
        <x:v>Not started</x:v>
      </x:c>
      <x:c r="F136" s="24" t="str"/>
      <x:c r="G136" s="2" t="str">
        <x:f>IF(E136="Reviewed",IF(AND(D136&lt;&gt;"",F136&lt;&gt;""),"Complete","Add owner and note"),IF(D136="","Assign owner","Review period"))</x:f>
        <x:v>Assign owner</x:v>
      </x:c>
    </x:row>
    <x:row r="137" ht="30" customHeight="1">
      <x:c r="A137" s="22" t="str">
        <x:v>2018-08</x:v>
      </x:c>
      <x:c r="B137" s="2" t="str">
        <x:v>Technology</x:v>
      </x:c>
      <x:c r="C137" s="5" t="n">
        <x:v>17619.162</x:v>
      </x:c>
      <x:c r="D137" s="23" t="str"/>
      <x:c r="E137" s="23" t="str">
        <x:v>Not started</x:v>
      </x:c>
      <x:c r="F137" s="24" t="str"/>
      <x:c r="G137" s="2" t="str">
        <x:f>IF(E137="Reviewed",IF(AND(D137&lt;&gt;"",F137&lt;&gt;""),"Complete","Add owner and note"),IF(D137="","Assign owner","Review period"))</x:f>
        <x:v>Assign owner</x:v>
      </x:c>
    </x:row>
    <x:row r="138" ht="30" customHeight="1">
      <x:c r="A138" s="22" t="str">
        <x:v>2018-09</x:v>
      </x:c>
      <x:c r="B138" s="2" t="str">
        <x:v>Furniture</x:v>
      </x:c>
      <x:c r="C138" s="5" t="n">
        <x:v>28516.706</x:v>
      </x:c>
      <x:c r="D138" s="23" t="str"/>
      <x:c r="E138" s="23" t="str">
        <x:v>Not started</x:v>
      </x:c>
      <x:c r="F138" s="24" t="str"/>
      <x:c r="G138" s="2" t="str">
        <x:f>IF(E138="Reviewed",IF(AND(D138&lt;&gt;"",F138&lt;&gt;""),"Complete","Add owner and note"),IF(D138="","Assign owner","Review period"))</x:f>
        <x:v>Assign owner</x:v>
      </x:c>
    </x:row>
    <x:row r="139" ht="30" customHeight="1">
      <x:c r="A139" s="22" t="str">
        <x:v>2018-09</x:v>
      </x:c>
      <x:c r="B139" s="2" t="str">
        <x:v>Office Supplies</x:v>
      </x:c>
      <x:c r="C139" s="5" t="n">
        <x:v>31607.523</x:v>
      </x:c>
      <x:c r="D139" s="23" t="str"/>
      <x:c r="E139" s="23" t="str">
        <x:v>Not started</x:v>
      </x:c>
      <x:c r="F139" s="24" t="str"/>
      <x:c r="G139" s="2" t="str">
        <x:f>IF(E139="Reviewed",IF(AND(D139&lt;&gt;"",F139&lt;&gt;""),"Complete","Add owner and note"),IF(D139="","Assign owner","Review period"))</x:f>
        <x:v>Assign owner</x:v>
      </x:c>
    </x:row>
    <x:row r="140" ht="30" customHeight="1">
      <x:c r="A140" s="22" t="str">
        <x:v>2018-09</x:v>
      </x:c>
      <x:c r="B140" s="2" t="str">
        <x:v>Technology</x:v>
      </x:c>
      <x:c r="C140" s="5" t="n">
        <x:v>26028.659</x:v>
      </x:c>
      <x:c r="D140" s="23" t="str"/>
      <x:c r="E140" s="23" t="str">
        <x:v>Not started</x:v>
      </x:c>
      <x:c r="F140" s="24" t="str"/>
      <x:c r="G140" s="2" t="str">
        <x:f>IF(E140="Reviewed",IF(AND(D140&lt;&gt;"",F140&lt;&gt;""),"Complete","Add owner and note"),IF(D140="","Assign owner","Review period"))</x:f>
        <x:v>Assign owner</x:v>
      </x:c>
    </x:row>
    <x:row r="141" ht="30" customHeight="1">
      <x:c r="A141" s="22" t="str">
        <x:v>2018-10</x:v>
      </x:c>
      <x:c r="B141" s="2" t="str">
        <x:v>Furniture</x:v>
      </x:c>
      <x:c r="C141" s="5" t="n">
        <x:v>21884.0682</x:v>
      </x:c>
      <x:c r="D141" s="23" t="str"/>
      <x:c r="E141" s="23" t="str">
        <x:v>Not started</x:v>
      </x:c>
      <x:c r="F141" s="24" t="str"/>
      <x:c r="G141" s="2" t="str">
        <x:f>IF(E141="Reviewed",IF(AND(D141&lt;&gt;"",F141&lt;&gt;""),"Complete","Add owner and note"),IF(D141="","Assign owner","Review period"))</x:f>
        <x:v>Assign owner</x:v>
      </x:c>
    </x:row>
    <x:row r="142" ht="30" customHeight="1">
      <x:c r="A142" s="22" t="str">
        <x:v>2018-10</x:v>
      </x:c>
      <x:c r="B142" s="2" t="str">
        <x:v>Office Supplies</x:v>
      </x:c>
      <x:c r="C142" s="5" t="n">
        <x:v>22708.4</x:v>
      </x:c>
      <x:c r="D142" s="23" t="str"/>
      <x:c r="E142" s="23" t="str">
        <x:v>Not started</x:v>
      </x:c>
      <x:c r="F142" s="24" t="str"/>
      <x:c r="G142" s="2" t="str">
        <x:f>IF(E142="Reviewed",IF(AND(D142&lt;&gt;"",F142&lt;&gt;""),"Complete","Add owner and note"),IF(D142="","Assign owner","Review period"))</x:f>
        <x:v>Assign owner</x:v>
      </x:c>
    </x:row>
    <x:row r="143" ht="30" customHeight="1">
      <x:c r="A143" s="22" t="str">
        <x:v>2018-10</x:v>
      </x:c>
      <x:c r="B143" s="2" t="str">
        <x:v>Technology</x:v>
      </x:c>
      <x:c r="C143" s="5" t="n">
        <x:v>32855.663</x:v>
      </x:c>
      <x:c r="D143" s="23" t="str"/>
      <x:c r="E143" s="23" t="str">
        <x:v>Not started</x:v>
      </x:c>
      <x:c r="F143" s="24" t="str"/>
      <x:c r="G143" s="2" t="str">
        <x:f>IF(E143="Reviewed",IF(AND(D143&lt;&gt;"",F143&lt;&gt;""),"Complete","Add owner and note"),IF(D143="","Assign owner","Review period"))</x:f>
        <x:v>Assign owner</x:v>
      </x:c>
    </x:row>
    <x:row r="144" ht="30" customHeight="1">
      <x:c r="A144" s="22" t="str">
        <x:v>2018-11</x:v>
      </x:c>
      <x:c r="B144" s="2" t="str">
        <x:v>Furniture</x:v>
      </x:c>
      <x:c r="C144" s="5" t="n">
        <x:v>37056.715</x:v>
      </x:c>
      <x:c r="D144" s="23" t="str"/>
      <x:c r="E144" s="23" t="str">
        <x:v>Not started</x:v>
      </x:c>
      <x:c r="F144" s="24" t="str"/>
      <x:c r="G144" s="2" t="str">
        <x:f>IF(E144="Reviewed",IF(AND(D144&lt;&gt;"",F144&lt;&gt;""),"Complete","Add owner and note"),IF(D144="","Assign owner","Review period"))</x:f>
        <x:v>Assign owner</x:v>
      </x:c>
    </x:row>
    <x:row r="145" ht="30" customHeight="1">
      <x:c r="A145" s="22" t="str">
        <x:v>2018-11</x:v>
      </x:c>
      <x:c r="B145" s="2" t="str">
        <x:v>Office Supplies</x:v>
      </x:c>
      <x:c r="C145" s="5" t="n">
        <x:v>31472.337</x:v>
      </x:c>
      <x:c r="D145" s="23" t="str"/>
      <x:c r="E145" s="23" t="str">
        <x:v>Not started</x:v>
      </x:c>
      <x:c r="F145" s="24" t="str"/>
      <x:c r="G145" s="2" t="str">
        <x:f>IF(E145="Reviewed",IF(AND(D145&lt;&gt;"",F145&lt;&gt;""),"Complete","Add owner and note"),IF(D145="","Assign owner","Review period"))</x:f>
        <x:v>Assign owner</x:v>
      </x:c>
    </x:row>
    <x:row r="146" ht="30" customHeight="1">
      <x:c r="A146" s="22" t="str">
        <x:v>2018-11</x:v>
      </x:c>
      <x:c r="B146" s="2" t="str">
        <x:v>Technology</x:v>
      </x:c>
      <x:c r="C146" s="5" t="n">
        <x:v>49409.103</x:v>
      </x:c>
      <x:c r="D146" s="23" t="str"/>
      <x:c r="E146" s="23" t="str">
        <x:v>Not started</x:v>
      </x:c>
      <x:c r="F146" s="24" t="str"/>
      <x:c r="G146" s="2" t="str">
        <x:f>IF(E146="Reviewed",IF(AND(D146&lt;&gt;"",F146&lt;&gt;""),"Complete","Add owner and note"),IF(D146="","Assign owner","Review period"))</x:f>
        <x:v>Assign owner</x:v>
      </x:c>
    </x:row>
    <x:row r="147" ht="30" customHeight="1">
      <x:c r="A147" s="22" t="str">
        <x:v>2018-12</x:v>
      </x:c>
      <x:c r="B147" s="2" t="str">
        <x:v>Furniture</x:v>
      </x:c>
      <x:c r="C147" s="5" t="n">
        <x:v>31407.4668</x:v>
      </x:c>
      <x:c r="D147" s="23" t="str"/>
      <x:c r="E147" s="23" t="str">
        <x:v>Not started</x:v>
      </x:c>
      <x:c r="F147" s="24" t="str"/>
      <x:c r="G147" s="2" t="str">
        <x:f>IF(E147="Reviewed",IF(AND(D147&lt;&gt;"",F147&lt;&gt;""),"Complete","Add owner and note"),IF(D147="","Assign owner","Review period"))</x:f>
        <x:v>Assign owner</x:v>
      </x:c>
    </x:row>
    <x:row r="148" ht="30" customHeight="1">
      <x:c r="A148" s="22" t="str">
        <x:v>2018-12</x:v>
      </x:c>
      <x:c r="B148" s="2" t="str">
        <x:v>Office Supplies</x:v>
      </x:c>
      <x:c r="C148" s="5" t="n">
        <x:v>29638.012</x:v>
      </x:c>
      <x:c r="D148" s="23" t="str"/>
      <x:c r="E148" s="23" t="str">
        <x:v>Not started</x:v>
      </x:c>
      <x:c r="F148" s="24" t="str"/>
      <x:c r="G148" s="2" t="str">
        <x:f>IF(E148="Reviewed",IF(AND(D148&lt;&gt;"",F148&lt;&gt;""),"Complete","Add owner and note"),IF(D148="","Assign owner","Review period"))</x:f>
        <x:v>Assign owner</x:v>
      </x:c>
    </x:row>
    <x:row r="149" ht="30" customHeight="1">
      <x:c r="A149" s="22" t="str">
        <x:v>2018-12</x:v>
      </x:c>
      <x:c r="B149" s="2" t="str">
        <x:v>Technology</x:v>
      </x:c>
      <x:c r="C149" s="5" t="n">
        <x:v>21984.91</x:v>
      </x:c>
      <x:c r="D149" s="23" t="str"/>
      <x:c r="E149" s="23" t="str">
        <x:v>Not started</x:v>
      </x:c>
      <x:c r="F149" s="24" t="str"/>
      <x:c r="G149" s="2" t="str">
        <x:f>IF(E149="Reviewed",IF(AND(D149&lt;&gt;"",F149&lt;&gt;""),"Complete","Add owner and note"),IF(D149="","Assign owner","Review period"))</x:f>
        <x:v>Assign owner</x:v>
      </x:c>
    </x:row>
    <x:row r="150" ht="24" customHeight="1">
      <x:c r="A150" s="2"/>
      <x:c r="B150" s="2"/>
      <x:c r="C150" s="2"/>
      <x:c r="D150" s="2"/>
      <x:c r="E150" s="2"/>
      <x:c r="F150" s="2"/>
      <x:c r="G150" s="2"/>
    </x:row>
  </x:sheetData>
  <x:dataValidations count="1">
    <x:dataValidation type="list" sqref="E6:E149">
      <x:formula1>"Not started,In progress,Reviewed"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1726c1d2a247ea"/>
  </x:tableParts>
</x:worksheet>
</file>